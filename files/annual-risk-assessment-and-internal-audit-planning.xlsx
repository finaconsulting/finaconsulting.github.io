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ERCY-VNSGN\Downloads\"/>
    </mc:Choice>
  </mc:AlternateContent>
  <xr:revisionPtr revIDLastSave="0" documentId="13_ncr:1_{768DA441-789C-4EBA-8F77-039F57B66198}" xr6:coauthVersionLast="47" xr6:coauthVersionMax="47" xr10:uidLastSave="{00000000-0000-0000-0000-000000000000}"/>
  <bookViews>
    <workbookView xWindow="-108" yWindow="-108" windowWidth="23256" windowHeight="12456" tabRatio="602" firstSheet="1" activeTab="1" xr2:uid="{00000000-000D-0000-FFFF-FFFF00000000}"/>
  </bookViews>
  <sheets>
    <sheet name="0. Introduction" sheetId="1" r:id="rId1"/>
    <sheet name="1. Audit universe" sheetId="2" r:id="rId2"/>
    <sheet name="2. Risk sheet" sheetId="3" r:id="rId3"/>
    <sheet name="3. Risk mapping" sheetId="4" r:id="rId4"/>
    <sheet name="4. Location mapping" sheetId="5" r:id="rId5"/>
    <sheet name="5. IA plan" sheetId="6" r:id="rId6"/>
  </sheets>
  <definedNames>
    <definedName name="_xlnm._FilterDatabase" localSheetId="2" hidden="1">'2. Risk sheet'!$A$7:$G$27</definedName>
    <definedName name="_xlnm._FilterDatabase" localSheetId="3" hidden="1">'3. Risk mapping'!$A$6:$I$50</definedName>
    <definedName name="_xlnm._FilterDatabase" localSheetId="4" hidden="1">'4. Location mapping'!$A$7:$G$19</definedName>
    <definedName name="Category" localSheetId="0">#REF!</definedName>
    <definedName name="Category">#REF!</definedName>
    <definedName name="Change" localSheetId="0">#REF!</definedName>
    <definedName name="Change">#REF!</definedName>
    <definedName name="Chiến_lược">'3. Risk mapping'!#REF!</definedName>
    <definedName name="d">#REF!</definedName>
    <definedName name="Definition" localSheetId="0">#REF!</definedName>
    <definedName name="Definition">#REF!</definedName>
    <definedName name="e">#REF!</definedName>
    <definedName name="Impact" localSheetId="0">#REF!</definedName>
    <definedName name="Impact">#REF!</definedName>
    <definedName name="Likelihood" localSheetId="0">#REF!</definedName>
    <definedName name="Likelihood">#REF!</definedName>
    <definedName name="_xlnm.Print_Area" localSheetId="0">'0. Introduction'!$A$1:$F$29</definedName>
    <definedName name="_xlnm.Print_Area" localSheetId="1">'1. Audit universe'!$A$1:$E$28</definedName>
    <definedName name="_xlnm.Print_Area" localSheetId="2">'2. Risk sheet'!$A$1:$G$43</definedName>
    <definedName name="_xlnm.Print_Area" localSheetId="3">'3. Risk mapping'!$A$1:$Q$45</definedName>
    <definedName name="_xlnm.Print_Area" localSheetId="4">'4. Location mapping'!$A$1:$F$19</definedName>
    <definedName name="_xlnm.Print_Area" localSheetId="5">'5. IA plan'!$A$1:$G$42</definedName>
    <definedName name="_xlnm.Print_Titles" localSheetId="1">'1. Audit universe'!$7:$7</definedName>
    <definedName name="_xlnm.Print_Titles" localSheetId="2">'2. Risk sheet'!$7:$7</definedName>
    <definedName name="_xlnm.Print_Titles" localSheetId="3">'3. Risk mapping'!$7:$8,'3. Risk mapping'!$A:$D</definedName>
    <definedName name="_xlnm.Print_Titles" localSheetId="4">'4. Location mapping'!$6:$6</definedName>
    <definedName name="_xlnm.Print_Titles" localSheetId="5">'5. IA plan'!$7:$7</definedName>
    <definedName name="_xlnm.Recorder" localSheetId="0">#REF!</definedName>
    <definedName name="_xlnm.Recorder">#REF!</definedName>
    <definedName name="s">#REF!</definedName>
    <definedName name="sdfs">#REF!</definedName>
    <definedName name="Status" localSheetId="0">#REF!</definedName>
    <definedName name="Status">#REF!</definedName>
    <definedName name="SubCategory" localSheetId="0">#REF!</definedName>
    <definedName name="SubCategory">#REF!</definedName>
    <definedName name="Z_1034BD6D_CBDF_421A_B148_36809FC06266_.wvu.Cols" localSheetId="3" hidden="1">'3. Risk mapping'!$A:$D</definedName>
    <definedName name="Z_1034BD6D_CBDF_421A_B148_36809FC06266_.wvu.FilterData" localSheetId="3" hidden="1">'3. Risk mapping'!$A$8:$D$27</definedName>
    <definedName name="Z_1034BD6D_CBDF_421A_B148_36809FC06266_.wvu.PrintTitles" localSheetId="3" hidden="1">'3. Risk mapping'!$A:$D,'3. Risk mapping'!$7:$7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A3" i="6" l="1"/>
  <c r="A1" i="6"/>
  <c r="B13" i="5"/>
  <c r="B12" i="5"/>
  <c r="B10" i="5"/>
  <c r="A3" i="5"/>
  <c r="A1" i="5"/>
  <c r="Q45" i="4"/>
  <c r="B18" i="5" s="1"/>
  <c r="P45" i="4"/>
  <c r="B17" i="5" s="1"/>
  <c r="O45" i="4"/>
  <c r="B19" i="5" s="1"/>
  <c r="N45" i="4"/>
  <c r="M45" i="4"/>
  <c r="B14" i="5" s="1"/>
  <c r="L45" i="4"/>
  <c r="B15" i="5" s="1"/>
  <c r="K45" i="4"/>
  <c r="B16" i="5" s="1"/>
  <c r="J45" i="4"/>
  <c r="B11" i="5" s="1"/>
  <c r="I45" i="4"/>
  <c r="H45" i="4"/>
  <c r="G45" i="4"/>
  <c r="B9" i="5" s="1"/>
  <c r="F45" i="4"/>
  <c r="B8" i="5" s="1"/>
  <c r="E44" i="4"/>
  <c r="D44" i="4"/>
  <c r="C44" i="4"/>
  <c r="B44" i="4"/>
  <c r="E43" i="4"/>
  <c r="D43" i="4"/>
  <c r="C43" i="4"/>
  <c r="B43" i="4"/>
  <c r="E42" i="4"/>
  <c r="D42" i="4"/>
  <c r="C42" i="4"/>
  <c r="B42" i="4"/>
  <c r="E41" i="4"/>
  <c r="D41" i="4"/>
  <c r="C41" i="4"/>
  <c r="B41" i="4"/>
  <c r="E40" i="4"/>
  <c r="D40" i="4"/>
  <c r="C40" i="4"/>
  <c r="B40" i="4"/>
  <c r="E39" i="4"/>
  <c r="D39" i="4"/>
  <c r="C39" i="4"/>
  <c r="B39" i="4"/>
  <c r="E38" i="4"/>
  <c r="D38" i="4"/>
  <c r="C38" i="4"/>
  <c r="B38" i="4"/>
  <c r="E37" i="4"/>
  <c r="D37" i="4"/>
  <c r="C37" i="4"/>
  <c r="B37" i="4"/>
  <c r="E36" i="4"/>
  <c r="D36" i="4"/>
  <c r="C36" i="4"/>
  <c r="B36" i="4"/>
  <c r="E35" i="4"/>
  <c r="D35" i="4"/>
  <c r="C35" i="4"/>
  <c r="B35" i="4"/>
  <c r="E34" i="4"/>
  <c r="D34" i="4"/>
  <c r="C34" i="4"/>
  <c r="B34" i="4"/>
  <c r="E33" i="4"/>
  <c r="D33" i="4"/>
  <c r="C33" i="4"/>
  <c r="B33" i="4"/>
  <c r="E32" i="4"/>
  <c r="D32" i="4"/>
  <c r="C32" i="4"/>
  <c r="B32" i="4"/>
  <c r="E31" i="4"/>
  <c r="D31" i="4"/>
  <c r="C31" i="4"/>
  <c r="B31" i="4"/>
  <c r="E30" i="4"/>
  <c r="D30" i="4"/>
  <c r="C30" i="4"/>
  <c r="B30" i="4"/>
  <c r="E29" i="4"/>
  <c r="D29" i="4"/>
  <c r="C29" i="4"/>
  <c r="B29" i="4"/>
  <c r="E28" i="4"/>
  <c r="D28" i="4"/>
  <c r="C28" i="4"/>
  <c r="B28" i="4"/>
  <c r="E27" i="4"/>
  <c r="D27" i="4"/>
  <c r="C27" i="4"/>
  <c r="B27" i="4"/>
  <c r="E26" i="4"/>
  <c r="D26" i="4"/>
  <c r="C26" i="4"/>
  <c r="B26" i="4"/>
  <c r="E25" i="4"/>
  <c r="D25" i="4"/>
  <c r="C25" i="4"/>
  <c r="B25" i="4"/>
  <c r="E24" i="4"/>
  <c r="D24" i="4"/>
  <c r="C24" i="4"/>
  <c r="B24" i="4"/>
  <c r="E23" i="4"/>
  <c r="D23" i="4"/>
  <c r="C23" i="4"/>
  <c r="B23" i="4"/>
  <c r="E22" i="4"/>
  <c r="D22" i="4"/>
  <c r="C22" i="4"/>
  <c r="B22" i="4"/>
  <c r="E21" i="4"/>
  <c r="D21" i="4"/>
  <c r="C21" i="4"/>
  <c r="B21" i="4"/>
  <c r="E20" i="4"/>
  <c r="D20" i="4"/>
  <c r="C20" i="4"/>
  <c r="B20" i="4"/>
  <c r="E19" i="4"/>
  <c r="D19" i="4"/>
  <c r="C19" i="4"/>
  <c r="B19" i="4"/>
  <c r="E18" i="4"/>
  <c r="D18" i="4"/>
  <c r="C18" i="4"/>
  <c r="B18" i="4"/>
  <c r="E17" i="4"/>
  <c r="D17" i="4"/>
  <c r="C17" i="4"/>
  <c r="B17" i="4"/>
  <c r="E16" i="4"/>
  <c r="D16" i="4"/>
  <c r="C16" i="4"/>
  <c r="B16" i="4"/>
  <c r="E15" i="4"/>
  <c r="D15" i="4"/>
  <c r="C15" i="4"/>
  <c r="B15" i="4"/>
  <c r="E14" i="4"/>
  <c r="D14" i="4"/>
  <c r="C14" i="4"/>
  <c r="B14" i="4"/>
  <c r="E13" i="4"/>
  <c r="D13" i="4"/>
  <c r="C13" i="4"/>
  <c r="B13" i="4"/>
  <c r="E12" i="4"/>
  <c r="D12" i="4"/>
  <c r="C12" i="4"/>
  <c r="B12" i="4"/>
  <c r="E11" i="4"/>
  <c r="D11" i="4"/>
  <c r="C11" i="4"/>
  <c r="B11" i="4"/>
  <c r="E10" i="4"/>
  <c r="D10" i="4"/>
  <c r="C10" i="4"/>
  <c r="B10" i="4"/>
  <c r="E9" i="4"/>
  <c r="D9" i="4"/>
  <c r="C9" i="4"/>
  <c r="B9" i="4"/>
  <c r="A3" i="4"/>
  <c r="A1" i="4"/>
  <c r="A3" i="3"/>
  <c r="A1" i="3"/>
  <c r="A3" i="2"/>
  <c r="A1" i="2"/>
</calcChain>
</file>

<file path=xl/sharedStrings.xml><?xml version="1.0" encoding="utf-8"?>
<sst xmlns="http://schemas.openxmlformats.org/spreadsheetml/2006/main" count="289" uniqueCount="211">
  <si>
    <t>Company Name</t>
  </si>
  <si>
    <t>Annual risk assessment and IA planning</t>
  </si>
  <si>
    <t>Year:</t>
  </si>
  <si>
    <t>Introduction</t>
  </si>
  <si>
    <t>1. Audit universe</t>
  </si>
  <si>
    <t>List of auditable units at "Company"</t>
  </si>
  <si>
    <t>2. Risk sheet</t>
  </si>
  <si>
    <t>List of risks identified and assessed based on defined criteria. The assessment is performed for residual risk (the risk rating after consideration of controls mitigating risks).</t>
  </si>
  <si>
    <t>3. Risk mapping</t>
  </si>
  <si>
    <t>Prioritized risk's rating (residual risk rating) at  2. Risk sheet  is linked to auditable unit at 1. Audit universe</t>
  </si>
  <si>
    <t>4. Location mapping</t>
  </si>
  <si>
    <t>Risk rating at processes is linked to locations</t>
  </si>
  <si>
    <t>5. IA plan</t>
  </si>
  <si>
    <t>IA plan is developed based on input from 3. Risk mapping and 4. Location mapping</t>
  </si>
  <si>
    <t>Audit universe</t>
  </si>
  <si>
    <t>Function</t>
  </si>
  <si>
    <t>Head Quarter</t>
  </si>
  <si>
    <t>Hanoi</t>
  </si>
  <si>
    <t>Hai Phong</t>
  </si>
  <si>
    <t>HCM</t>
  </si>
  <si>
    <t>Corporate planning</t>
  </si>
  <si>
    <t>Corporate</t>
  </si>
  <si>
    <t>Planning</t>
  </si>
  <si>
    <t>Corporate management</t>
  </si>
  <si>
    <t>Legal</t>
  </si>
  <si>
    <t>Business management</t>
  </si>
  <si>
    <t>Finance &amp; accounting</t>
  </si>
  <si>
    <t>Finance</t>
  </si>
  <si>
    <t>Accounting</t>
  </si>
  <si>
    <t>HR</t>
  </si>
  <si>
    <t>Employment Relation</t>
  </si>
  <si>
    <t>Recruitment</t>
  </si>
  <si>
    <t>Payroll</t>
  </si>
  <si>
    <t>Training &amp; development</t>
  </si>
  <si>
    <t>IT</t>
  </si>
  <si>
    <t>IT System/Infrastructure</t>
  </si>
  <si>
    <t>IT Solutions/applications</t>
  </si>
  <si>
    <t>Business development &amp; Customer service</t>
  </si>
  <si>
    <t>Business development</t>
  </si>
  <si>
    <t>Customer service</t>
  </si>
  <si>
    <t>Project cargoes</t>
  </si>
  <si>
    <t>Admin</t>
  </si>
  <si>
    <t>HLC</t>
  </si>
  <si>
    <t>HCMC</t>
  </si>
  <si>
    <t>YLC, TTLC, TS, VSIP</t>
  </si>
  <si>
    <t>Warehouse</t>
  </si>
  <si>
    <t>YLC/Quang Minh</t>
  </si>
  <si>
    <t>HPH Container Depot</t>
  </si>
  <si>
    <t>MLC (Sony)</t>
  </si>
  <si>
    <t>TLC Bac Ninh</t>
  </si>
  <si>
    <t>SLC/TBS</t>
  </si>
  <si>
    <t>VSIP Bac Ninh</t>
  </si>
  <si>
    <t>JX</t>
  </si>
  <si>
    <t>Kerry</t>
  </si>
  <si>
    <t>TTLC Hai Duong</t>
  </si>
  <si>
    <t>BTMV</t>
  </si>
  <si>
    <t>Adequate</t>
  </si>
  <si>
    <t>Inadequate</t>
  </si>
  <si>
    <t>Nonexistence</t>
  </si>
  <si>
    <t>Risk sheet</t>
  </si>
  <si>
    <t>Control design assessment</t>
  </si>
  <si>
    <t>No.</t>
  </si>
  <si>
    <t>Risk name</t>
  </si>
  <si>
    <t>Risk description</t>
  </si>
  <si>
    <t>Control</t>
  </si>
  <si>
    <t>Control assessment</t>
  </si>
  <si>
    <t>Residual risk</t>
  </si>
  <si>
    <t>IA focus</t>
  </si>
  <si>
    <t>R01</t>
  </si>
  <si>
    <t>Third party relationships</t>
  </si>
  <si>
    <t>Ineffective management oversight of contracted third party service providers’ performance and compliance.</t>
  </si>
  <si>
    <t>The control processes and management's mitigating activities allow for effective management of the risk, thereby reducing the frequency and/or impact of the risk event occurring</t>
  </si>
  <si>
    <t>The control processes and management's mitigating activities allow for marginal management of the risk, there is minimal reduction in the frequency and/or severity of the risk event. Major gaps and deficiencies have been identified.</t>
  </si>
  <si>
    <t>There is no control processes and management's mitigating activities for the management of the risk. There is no reduction in the frequency and/or severity of the risk event.</t>
  </si>
  <si>
    <t>R02</t>
  </si>
  <si>
    <t>Ineffective vendor selection process</t>
  </si>
  <si>
    <t>Failure to identify quality and cost effective third party suppliers</t>
  </si>
  <si>
    <t>R03</t>
  </si>
  <si>
    <t>Customs compliance and duty reduction</t>
  </si>
  <si>
    <t>Inability to identify opportunities to eliminate customs duty throughout the supply chain. Misinterpretation of cross-border and customs legislation leads to overpaid duties and delays at the border.</t>
  </si>
  <si>
    <t>Residual risk rating</t>
  </si>
  <si>
    <t>R04</t>
  </si>
  <si>
    <t>Planning and forecasting demands</t>
  </si>
  <si>
    <t>Failure to forecast clients’ demand leading to failure in capacity utilization</t>
  </si>
  <si>
    <t>R05</t>
  </si>
  <si>
    <t>Delivery destination</t>
  </si>
  <si>
    <t>Failure to record and interpret correctly delivery address provided by client leading to higher transportation expense or failure to complete services.</t>
  </si>
  <si>
    <t>R06</t>
  </si>
  <si>
    <t>Warehouse development</t>
  </si>
  <si>
    <t>Failure to equip and develop warehouse to meet specific requirements for particular type of good.</t>
  </si>
  <si>
    <t>R07</t>
  </si>
  <si>
    <t>Physical control</t>
  </si>
  <si>
    <t>Failure to perform and manage the physical order fulfillment process of picking, packing goods in a manner consistent with customer expectations.</t>
  </si>
  <si>
    <t>R08</t>
  </si>
  <si>
    <t>Insurance</t>
  </si>
  <si>
    <t>Insurance coverage fails to protect the Company from significant financial losses due to incidents and claims.</t>
  </si>
  <si>
    <t>R09</t>
  </si>
  <si>
    <t>Transportation vehicle controls and maintenance</t>
  </si>
  <si>
    <t>Failure to provide physical protection and stewardship over transportation vehicles (trucks, container, etc.)</t>
  </si>
  <si>
    <t>R10</t>
  </si>
  <si>
    <t>Goods management during transporting and storing process</t>
  </si>
  <si>
    <t>Failure to maintain quality and quantity of special goods (frozen food, fragile products, living animals, etc.)</t>
  </si>
  <si>
    <t>R11</t>
  </si>
  <si>
    <t>Crisis Communication</t>
  </si>
  <si>
    <t>Failure to communicate the right message in an effective manner to recover and maintain business operations in the event of a crisis or disruption due to physical or natural circumstances.</t>
  </si>
  <si>
    <t>R12</t>
  </si>
  <si>
    <t>Marketing</t>
  </si>
  <si>
    <t>The inability to articulate a message that communicates a consistent and compelling incentive for potential consumers and provides a return on investment to shareholders.</t>
  </si>
  <si>
    <t>R13</t>
  </si>
  <si>
    <t>Sales and Pricing</t>
  </si>
  <si>
    <t>Inability to price and provide services to key target markets in order to achieve the Company's strategic and financial goals.</t>
  </si>
  <si>
    <t>R14</t>
  </si>
  <si>
    <t>Customer Support / Management</t>
  </si>
  <si>
    <t>Failure to provide customer service to enable long-term customer loyalty. Includes ineffective response to customer needs, questions and concerns about the Company's products and/or services.</t>
  </si>
  <si>
    <t>R15</t>
  </si>
  <si>
    <t>Fraud</t>
  </si>
  <si>
    <t>Potential illegal acts committed by Company employees to sneak illegal goods cross border that negatively impact the Company's reputation.</t>
  </si>
  <si>
    <t>R16</t>
  </si>
  <si>
    <t>Contract</t>
  </si>
  <si>
    <t>Entering into contracts that are unfavorable to the Company; and the failure to comply with and monitor contract terms to protect the Company from financial losses.</t>
  </si>
  <si>
    <t>R17</t>
  </si>
  <si>
    <t>Anti - Corruption</t>
  </si>
  <si>
    <t>Failure to create a Corporate environment which is opposed to corruption and instill business practices which prevent corruption.</t>
  </si>
  <si>
    <t>R18</t>
  </si>
  <si>
    <t>Country specific legal alignment</t>
  </si>
  <si>
    <t>Failure to cope with unknown and complex foreign rules and regulations.</t>
  </si>
  <si>
    <t>R19</t>
  </si>
  <si>
    <t>Environment</t>
  </si>
  <si>
    <t>Failure to identify and prevent legal risks posed by, and prevent non-compliance with, Local and International Environmental regulations e.g., non-compliance with ISO 14001 standards.</t>
  </si>
  <si>
    <t>R20</t>
  </si>
  <si>
    <t>Health and Safety</t>
  </si>
  <si>
    <t>Failure to identify and prevent legal risks posed by, and prevent non-compliance with, Local and International rules and regulations for health and safety.</t>
  </si>
  <si>
    <t>R21</t>
  </si>
  <si>
    <t>Forecasting and budgeting</t>
  </si>
  <si>
    <t>Failure to forecast financial information to enable the allocation of resources to new and existing initiatives and communicate earnings expectations to the market. The risk that the company does not appropriately or sufficiently allocate capital to the areas required to fuel its growth, execute its strategies or generate future financial returns.</t>
  </si>
  <si>
    <t>R22</t>
  </si>
  <si>
    <t>Difference Accounting Standards and Reporting Regulations</t>
  </si>
  <si>
    <t>Inability to apply and follow different accounting standards and reporting regulation to the relevant territories government requirements.</t>
  </si>
  <si>
    <t>R23</t>
  </si>
  <si>
    <t>Interest Rate</t>
  </si>
  <si>
    <t>Unfavorable price paid per unit of funds borrowed or the rate of return received on invested assets</t>
  </si>
  <si>
    <t>R24</t>
  </si>
  <si>
    <t>Foreign Currency</t>
  </si>
  <si>
    <t>Unfavorable fluctuations in the currency of another market that is needed to carry out international transactions.</t>
  </si>
  <si>
    <t>R25</t>
  </si>
  <si>
    <t>Commodity</t>
  </si>
  <si>
    <t>Unfavorable fluctuations in the price of fuel and warehouse rental fee are not anticipated and managed.</t>
  </si>
  <si>
    <t>R26</t>
  </si>
  <si>
    <t>Cash Management</t>
  </si>
  <si>
    <t>Failure to administer, monitor and manage cash related activities to maximize its value.</t>
  </si>
  <si>
    <t>R27</t>
  </si>
  <si>
    <t>Credit and Collections</t>
  </si>
  <si>
    <t>Inability to obtain the optimal level of payment received as a result of a prior business transaction.</t>
  </si>
  <si>
    <t>R28</t>
  </si>
  <si>
    <t>Accounting, Reporting and Disclosure</t>
  </si>
  <si>
    <t>Inaccurate recording and reporting of all financial transactions in the proper accounting period in accordance with existing standards. Inaccurate financial reports can lead to bad business decisions by the management.</t>
  </si>
  <si>
    <t>R29</t>
  </si>
  <si>
    <t>Measurement and Monitoring</t>
  </si>
  <si>
    <t>Failure to periodically assess performance, quality and adherence to the standards as set forth by the  Company.</t>
  </si>
  <si>
    <t>R30</t>
  </si>
  <si>
    <t>Development and Performance</t>
  </si>
  <si>
    <t>Inability to develop and enhance employee skills and provide performance management that ensures optimal achievement of organizational strategies, goals and objectives.</t>
  </si>
  <si>
    <t>R31</t>
  </si>
  <si>
    <t>Recruiting and Retention</t>
  </si>
  <si>
    <t>Failure to recruit and retain qualified employees to ensure optimal staffing levels in a balanced workforce environment.</t>
  </si>
  <si>
    <t>R32</t>
  </si>
  <si>
    <t>Technology Implementation</t>
  </si>
  <si>
    <t>Failure of a major technology implementation to meet the strategic objectives of the organization.</t>
  </si>
  <si>
    <t>R33</t>
  </si>
  <si>
    <t>Information Protection</t>
  </si>
  <si>
    <t>Failure of Information systems to adequately protect the critical data and infrastructure from theft, corruption, unauthorized usage, viruses, or sabotage.</t>
  </si>
  <si>
    <t>R34</t>
  </si>
  <si>
    <t>IT Availability / Continuity</t>
  </si>
  <si>
    <t>The inability to recover from, and continue uninterrupted operations in the event of extraordinary events, systems and implementation failures.</t>
  </si>
  <si>
    <t>R35</t>
  </si>
  <si>
    <t>Natural Events</t>
  </si>
  <si>
    <t>Threat of business disruption due to natural events (e.g., fire, flood, tornado…)</t>
  </si>
  <si>
    <t>R36</t>
  </si>
  <si>
    <t>Chemical disaster</t>
  </si>
  <si>
    <t>Risk of disaster as fire, contamination, infestation (rodents, insects).</t>
  </si>
  <si>
    <t>Risk mapping</t>
  </si>
  <si>
    <t>Department</t>
  </si>
  <si>
    <t>Operation 1</t>
  </si>
  <si>
    <t>Operation 2</t>
  </si>
  <si>
    <t>…</t>
  </si>
  <si>
    <t>BD &amp; CS</t>
  </si>
  <si>
    <t>Risk</t>
  </si>
  <si>
    <t>Rating</t>
  </si>
  <si>
    <t>Risk score</t>
  </si>
  <si>
    <t>Location mapping</t>
  </si>
  <si>
    <t>Risk assessment</t>
  </si>
  <si>
    <t>HQ</t>
  </si>
  <si>
    <t>HN</t>
  </si>
  <si>
    <t>HPH</t>
  </si>
  <si>
    <t>X</t>
  </si>
  <si>
    <t>IA plan</t>
  </si>
  <si>
    <t>Location</t>
  </si>
  <si>
    <t>Required resource</t>
  </si>
  <si>
    <t>Timing</t>
  </si>
  <si>
    <t>Available resources</t>
  </si>
  <si>
    <t>1. IAC's internal auditors for 20xx:</t>
  </si>
  <si>
    <t>- 01 Head of IAC (to be team leader)</t>
  </si>
  <si>
    <t>Full time</t>
  </si>
  <si>
    <t>- 01 Audit manager</t>
  </si>
  <si>
    <t>- 01 Auditor (to be recruited in 2017)</t>
  </si>
  <si>
    <t>2. Guest auditors - if any (see table below)</t>
  </si>
  <si>
    <t>05 weeks/each</t>
  </si>
  <si>
    <t>North</t>
  </si>
  <si>
    <t>South</t>
  </si>
  <si>
    <t>FA</t>
  </si>
  <si>
    <t>CM &amp; 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</si>
</sst>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_(* #,##0.00_);_(* \(#,##0.00\);_(* \-??_);_(@_)"/>
    <numFmt numFmtId="166" formatCode="\$#,##0.00"/>
    <numFmt numFmtId="167" formatCode="d\-mmm"/>
  </numFmts>
  <fonts count="51">
    <font>
      <sz val="10"/>
      <name val="Arial"/>
      <charset val="1"/>
    </font>
    <font>
      <sz val="11"/>
      <color rgb="FF000000"/>
      <name val="Calibri"/>
      <family val="2"/>
      <charset val="1"/>
    </font>
    <font>
      <sz val="11"/>
      <color rgb="FFFFFFFF"/>
      <name val="Calibri"/>
      <family val="2"/>
      <charset val="1"/>
    </font>
    <font>
      <sz val="11"/>
      <color rgb="FF800080"/>
      <name val="Calibri"/>
      <family val="2"/>
      <charset val="1"/>
    </font>
    <font>
      <sz val="10"/>
      <name val="Arial"/>
      <family val="2"/>
      <charset val="1"/>
    </font>
    <font>
      <b/>
      <sz val="11"/>
      <color rgb="FFFF9900"/>
      <name val="Calibri"/>
      <family val="2"/>
      <charset val="1"/>
    </font>
    <font>
      <b/>
      <sz val="11"/>
      <color rgb="FFFFFFFF"/>
      <name val="Calibri"/>
      <family val="2"/>
      <charset val="1"/>
    </font>
    <font>
      <sz val="11"/>
      <color theme="1"/>
      <name val="Calibri"/>
      <family val="2"/>
      <charset val="1"/>
    </font>
    <font>
      <sz val="8"/>
      <color rgb="FF000000"/>
      <name val="Arial"/>
      <family val="2"/>
      <charset val="1"/>
    </font>
    <font>
      <i/>
      <sz val="11"/>
      <color rgb="FF808080"/>
      <name val="Calibri"/>
      <family val="2"/>
      <charset val="1"/>
    </font>
    <font>
      <sz val="10"/>
      <name val="Times New Roman"/>
      <family val="1"/>
      <charset val="1"/>
    </font>
    <font>
      <sz val="11"/>
      <color rgb="FF2C973E"/>
      <name val="Calibri"/>
      <family val="2"/>
      <charset val="1"/>
    </font>
    <font>
      <b/>
      <sz val="15"/>
      <color rgb="FF003366"/>
      <name val="Calibri"/>
      <family val="2"/>
      <charset val="1"/>
    </font>
    <font>
      <b/>
      <sz val="13"/>
      <color rgb="FF003366"/>
      <name val="Calibri"/>
      <family val="2"/>
      <charset val="1"/>
    </font>
    <font>
      <b/>
      <sz val="11"/>
      <color rgb="FF003366"/>
      <name val="Calibri"/>
      <family val="2"/>
      <charset val="1"/>
    </font>
    <font>
      <sz val="10"/>
      <color rgb="FF9999FF"/>
      <name val="Arial"/>
      <family val="2"/>
      <charset val="1"/>
    </font>
    <font>
      <sz val="11"/>
      <color rgb="FF333399"/>
      <name val="Calibri"/>
      <family val="2"/>
      <charset val="1"/>
    </font>
    <font>
      <sz val="11"/>
      <color rgb="FFFF9900"/>
      <name val="Calibri"/>
      <family val="2"/>
      <charset val="1"/>
    </font>
    <font>
      <sz val="8"/>
      <color rgb="FFF04C3E"/>
      <name val="Arial"/>
      <family val="2"/>
      <charset val="1"/>
    </font>
    <font>
      <sz val="11"/>
      <color rgb="FF993300"/>
      <name val="Calibri"/>
      <family val="2"/>
      <charset val="1"/>
    </font>
    <font>
      <sz val="9"/>
      <color rgb="FF000000"/>
      <name val="Tahoma"/>
      <family val="2"/>
      <charset val="1"/>
    </font>
    <font>
      <sz val="10"/>
      <name val="Barclays Sans"/>
      <charset val="1"/>
    </font>
    <font>
      <sz val="10"/>
      <color theme="1"/>
      <name val="EYInterstate Light"/>
      <family val="2"/>
      <charset val="1"/>
    </font>
    <font>
      <sz val="12"/>
      <name val="Times New Roman"/>
      <family val="1"/>
      <charset val="1"/>
    </font>
    <font>
      <b/>
      <sz val="11"/>
      <color rgb="FF333333"/>
      <name val="Calibri"/>
      <family val="2"/>
      <charset val="1"/>
    </font>
    <font>
      <b/>
      <sz val="16"/>
      <color rgb="FFFFFFFF"/>
      <name val="Arial"/>
      <family val="2"/>
      <charset val="1"/>
    </font>
    <font>
      <b/>
      <sz val="18"/>
      <color rgb="FF003366"/>
      <name val="Cambria"/>
      <family val="2"/>
      <charset val="1"/>
    </font>
    <font>
      <b/>
      <sz val="14"/>
      <name val="Arial"/>
      <family val="2"/>
      <charset val="1"/>
    </font>
    <font>
      <b/>
      <sz val="11"/>
      <color rgb="FF000000"/>
      <name val="Calibri"/>
      <family val="2"/>
      <charset val="1"/>
    </font>
    <font>
      <sz val="11"/>
      <color rgb="FFF04C3E"/>
      <name val="Calibri"/>
      <family val="2"/>
      <charset val="1"/>
    </font>
    <font>
      <sz val="10"/>
      <color theme="1"/>
      <name val="Arial"/>
      <family val="2"/>
      <charset val="1"/>
    </font>
    <font>
      <b/>
      <sz val="14"/>
      <color rgb="FF1F4E78"/>
      <name val="Arial"/>
      <charset val="1"/>
    </font>
    <font>
      <b/>
      <sz val="12"/>
      <color rgb="FF000000"/>
      <name val="Arial"/>
      <charset val="1"/>
    </font>
    <font>
      <b/>
      <sz val="10"/>
      <color rgb="FF000000"/>
      <name val="Arial"/>
      <charset val="1"/>
    </font>
    <font>
      <b/>
      <sz val="12"/>
      <color rgb="FF2E75B6"/>
      <name val="Arial"/>
      <charset val="1"/>
    </font>
    <font>
      <b/>
      <sz val="10"/>
      <color rgb="FF1F4E78"/>
      <name val="Arial"/>
      <charset val="1"/>
    </font>
    <font>
      <sz val="10"/>
      <color rgb="FF000000"/>
      <name val="Arial"/>
      <charset val="1"/>
    </font>
    <font>
      <b/>
      <sz val="16"/>
      <name val="Arial"/>
      <family val="2"/>
      <charset val="1"/>
    </font>
    <font>
      <b/>
      <sz val="10"/>
      <color rgb="FFFFFFFF"/>
      <name val="Arial"/>
      <charset val="1"/>
    </font>
    <font>
      <i/>
      <sz val="8"/>
      <color rgb="FF808080"/>
      <name val="Arial"/>
      <charset val="1"/>
    </font>
    <font>
      <b/>
      <sz val="10"/>
      <name val="Arial"/>
      <family val="2"/>
      <charset val="1"/>
    </font>
    <font>
      <b/>
      <sz val="11"/>
      <color rgb="FF2E75B6"/>
      <name val="Arial"/>
      <charset val="1"/>
    </font>
    <font>
      <sz val="9"/>
      <color rgb="FF000000"/>
      <name val="Arial"/>
      <charset val="1"/>
    </font>
    <font>
      <b/>
      <u/>
      <sz val="10"/>
      <name val="Arial"/>
      <family val="2"/>
      <charset val="1"/>
    </font>
    <font>
      <b/>
      <sz val="11"/>
      <name val="Arial"/>
      <family val="2"/>
      <charset val="1"/>
    </font>
    <font>
      <sz val="11"/>
      <name val="Arial"/>
      <family val="2"/>
      <charset val="1"/>
    </font>
    <font>
      <sz val="10"/>
      <color theme="0"/>
      <name val="Arial"/>
      <family val="2"/>
      <charset val="1"/>
    </font>
    <font>
      <sz val="10"/>
      <name val="Marlett"/>
      <charset val="2"/>
    </font>
    <font>
      <b/>
      <sz val="16"/>
      <name val="EYInterstate Light"/>
      <charset val="1"/>
    </font>
    <font>
      <sz val="8"/>
      <name val="Arial"/>
      <family val="2"/>
      <charset val="1"/>
    </font>
    <font>
      <i/>
      <sz val="10"/>
      <color rgb="FF404040"/>
      <name val="Arial"/>
      <charset val="1"/>
    </font>
  </fonts>
  <fills count="32">
    <fill>
      <patternFill patternType="none"/>
    </fill>
    <fill>
      <patternFill patternType="gray125"/>
    </fill>
    <fill>
      <patternFill patternType="solid">
        <fgColor rgb="FFCCCCFF"/>
        <bgColor rgb="FFC0C0C0"/>
      </patternFill>
    </fill>
    <fill>
      <patternFill patternType="solid">
        <fgColor rgb="FFFF99CC"/>
        <bgColor rgb="FFFF8080"/>
      </patternFill>
    </fill>
    <fill>
      <patternFill patternType="solid">
        <fgColor rgb="FFCCFFCC"/>
        <bgColor rgb="FFCCFFFF"/>
      </patternFill>
    </fill>
    <fill>
      <patternFill patternType="solid">
        <fgColor rgb="FFCC99FF"/>
        <bgColor rgb="FF9999FF"/>
      </patternFill>
    </fill>
    <fill>
      <patternFill patternType="solid">
        <fgColor rgb="FFCCFFFF"/>
        <bgColor rgb="FFCCFFCC"/>
      </patternFill>
    </fill>
    <fill>
      <patternFill patternType="solid">
        <fgColor rgb="FFFFCC99"/>
        <bgColor rgb="FFFFF2CC"/>
      </patternFill>
    </fill>
    <fill>
      <patternFill patternType="solid">
        <fgColor rgb="FF99CCFF"/>
        <bgColor rgb="FFCCCCFF"/>
      </patternFill>
    </fill>
    <fill>
      <patternFill patternType="solid">
        <fgColor rgb="FFFF8080"/>
        <bgColor rgb="FFFF99CC"/>
      </patternFill>
    </fill>
    <fill>
      <patternFill patternType="solid">
        <fgColor rgb="FF00FF00"/>
        <bgColor rgb="FF00B050"/>
      </patternFill>
    </fill>
    <fill>
      <patternFill patternType="solid">
        <fgColor rgb="FFFFCC00"/>
        <bgColor rgb="FFFFC000"/>
      </patternFill>
    </fill>
    <fill>
      <patternFill patternType="solid">
        <fgColor rgb="FF0066CC"/>
        <bgColor rgb="FF2E75B6"/>
      </patternFill>
    </fill>
    <fill>
      <patternFill patternType="solid">
        <fgColor rgb="FF800080"/>
        <bgColor rgb="FF800080"/>
      </patternFill>
    </fill>
    <fill>
      <patternFill patternType="solid">
        <fgColor rgb="FF33CCCC"/>
        <bgColor rgb="FF00CCFF"/>
      </patternFill>
    </fill>
    <fill>
      <patternFill patternType="solid">
        <fgColor rgb="FFFF9900"/>
        <bgColor rgb="FFFFC000"/>
      </patternFill>
    </fill>
    <fill>
      <patternFill patternType="solid">
        <fgColor rgb="FF333399"/>
        <bgColor rgb="FF1F4E78"/>
      </patternFill>
    </fill>
    <fill>
      <patternFill patternType="solid">
        <fgColor rgb="FFF04C3E"/>
        <bgColor rgb="FFFF6600"/>
      </patternFill>
    </fill>
    <fill>
      <patternFill patternType="solid">
        <fgColor rgb="FFFFED3F"/>
        <bgColor rgb="FFFFFF00"/>
      </patternFill>
    </fill>
    <fill>
      <patternFill patternType="solid">
        <fgColor rgb="FFFF6600"/>
        <bgColor rgb="FFF04C3E"/>
      </patternFill>
    </fill>
    <fill>
      <patternFill patternType="solid">
        <fgColor rgb="FFC0C0C0"/>
        <bgColor rgb="FFBFBFBF"/>
      </patternFill>
    </fill>
    <fill>
      <patternFill patternType="solid">
        <fgColor rgb="FF969696"/>
        <bgColor rgb="FF808080"/>
      </patternFill>
    </fill>
    <fill>
      <patternFill patternType="solid">
        <fgColor rgb="FFFFFF99"/>
        <bgColor rgb="FFFFFFCC"/>
      </patternFill>
    </fill>
    <fill>
      <patternFill patternType="solid">
        <fgColor rgb="FFFFFFCC"/>
        <bgColor rgb="FFFFF2CC"/>
      </patternFill>
    </fill>
    <fill>
      <patternFill patternType="solid">
        <fgColor rgb="FF9999FF"/>
        <bgColor rgb="FFCC99FF"/>
      </patternFill>
    </fill>
    <fill>
      <patternFill patternType="solid">
        <fgColor rgb="FFFFFFFF"/>
        <bgColor rgb="FFFFFFCC"/>
      </patternFill>
    </fill>
    <fill>
      <patternFill patternType="solid">
        <fgColor rgb="FFFFF2CC"/>
        <bgColor rgb="FFFFFFCC"/>
      </patternFill>
    </fill>
    <fill>
      <patternFill patternType="solid">
        <fgColor rgb="FFDDEBF7"/>
        <bgColor rgb="FFCCFFFF"/>
      </patternFill>
    </fill>
    <fill>
      <patternFill patternType="solid">
        <fgColor rgb="FF1F4E78"/>
        <bgColor rgb="FF333399"/>
      </patternFill>
    </fill>
    <fill>
      <patternFill patternType="solid">
        <fgColor rgb="FF92D050"/>
        <bgColor rgb="FFBFBFBF"/>
      </patternFill>
    </fill>
    <fill>
      <patternFill patternType="solid">
        <fgColor rgb="FFFFFF00"/>
        <bgColor rgb="FFFFED3F"/>
      </patternFill>
    </fill>
    <fill>
      <patternFill patternType="solid">
        <fgColor rgb="FFFF0000"/>
        <bgColor rgb="FFF04C3E"/>
      </patternFill>
    </fill>
  </fills>
  <borders count="18">
    <border>
      <left/>
      <right/>
      <top/>
      <bottom/>
      <diagonal/>
    </border>
    <border>
      <left style="dashed">
        <color rgb="FF333333"/>
      </left>
      <right style="dashed">
        <color rgb="FF333333"/>
      </right>
      <top style="dashed">
        <color rgb="FF333333"/>
      </top>
      <bottom style="dashed">
        <color rgb="FF333333"/>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style="thin">
        <color auto="1"/>
      </left>
      <right style="thin">
        <color auto="1"/>
      </right>
      <top style="thin">
        <color auto="1"/>
      </top>
      <bottom style="thin">
        <color auto="1"/>
      </bottom>
      <diagonal/>
    </border>
    <border>
      <left style="thin">
        <color rgb="FF333333"/>
      </left>
      <right style="thin">
        <color rgb="FF333333"/>
      </right>
      <top style="thin">
        <color rgb="FF333333"/>
      </top>
      <bottom style="thin">
        <color rgb="FF333333"/>
      </bottom>
      <diagonal/>
    </border>
    <border>
      <left/>
      <right/>
      <top/>
      <bottom style="thick">
        <color rgb="FF333399"/>
      </bottom>
      <diagonal/>
    </border>
    <border>
      <left/>
      <right/>
      <top/>
      <bottom style="thick">
        <color rgb="FFC0C0C0"/>
      </bottom>
      <diagonal/>
    </border>
    <border>
      <left/>
      <right/>
      <top/>
      <bottom style="medium">
        <color rgb="FF0066CC"/>
      </bottom>
      <diagonal/>
    </border>
    <border>
      <left style="dashed">
        <color rgb="FF660066"/>
      </left>
      <right style="dashed">
        <color rgb="FF660066"/>
      </right>
      <top style="dashed">
        <color rgb="FF660066"/>
      </top>
      <bottom style="dashed">
        <color rgb="FF660066"/>
      </bottom>
      <diagonal/>
    </border>
    <border>
      <left/>
      <right/>
      <top/>
      <bottom style="double">
        <color rgb="FFFF9900"/>
      </bottom>
      <diagonal/>
    </border>
    <border>
      <left style="dotted">
        <color rgb="FFF04C3E"/>
      </left>
      <right style="dotted">
        <color rgb="FFF04C3E"/>
      </right>
      <top style="dotted">
        <color rgb="FFF04C3E"/>
      </top>
      <bottom style="dotted">
        <color rgb="FFF04C3E"/>
      </bottom>
      <diagonal/>
    </border>
    <border>
      <left style="thin">
        <color rgb="FFC0C0C0"/>
      </left>
      <right style="thin">
        <color rgb="FFC0C0C0"/>
      </right>
      <top style="thin">
        <color rgb="FFC0C0C0"/>
      </top>
      <bottom style="thin">
        <color rgb="FFC0C0C0"/>
      </bottom>
      <diagonal/>
    </border>
    <border>
      <left/>
      <right/>
      <top style="thin">
        <color rgb="FF333399"/>
      </top>
      <bottom style="double">
        <color rgb="FF333399"/>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808080"/>
      </top>
      <bottom style="thin">
        <color rgb="FFBFBFBF"/>
      </bottom>
      <diagonal/>
    </border>
    <border>
      <left style="thin">
        <color rgb="FFBFBFBF"/>
      </left>
      <right/>
      <top style="thin">
        <color rgb="FFBFBFBF"/>
      </top>
      <bottom style="thin">
        <color rgb="FFBFBFBF"/>
      </bottom>
      <diagonal/>
    </border>
    <border>
      <left style="thin">
        <color rgb="FFBFBFBF"/>
      </left>
      <right style="thin">
        <color rgb="FFBFBFBF"/>
      </right>
      <top style="medium">
        <color rgb="FF1F4E78"/>
      </top>
      <bottom style="medium">
        <color rgb="FF1F4E78"/>
      </bottom>
      <diagonal/>
    </border>
  </borders>
  <cellStyleXfs count="73">
    <xf numFmtId="0" fontId="0" fillId="0" borderId="0"/>
    <xf numFmtId="0" fontId="1" fillId="2" borderId="0"/>
    <xf numFmtId="0" fontId="1" fillId="3" borderId="0"/>
    <xf numFmtId="0" fontId="1" fillId="4" borderId="0"/>
    <xf numFmtId="0" fontId="1" fillId="5" borderId="0"/>
    <xf numFmtId="0" fontId="1" fillId="6" borderId="0"/>
    <xf numFmtId="0" fontId="1" fillId="7" borderId="0"/>
    <xf numFmtId="0" fontId="1" fillId="8" borderId="0"/>
    <xf numFmtId="0" fontId="1" fillId="9" borderId="0"/>
    <xf numFmtId="0" fontId="1" fillId="10" borderId="0"/>
    <xf numFmtId="0" fontId="1" fillId="5" borderId="0"/>
    <xf numFmtId="0" fontId="1" fillId="8" borderId="0"/>
    <xf numFmtId="0" fontId="1" fillId="11" borderId="0"/>
    <xf numFmtId="0" fontId="2" fillId="12" borderId="0"/>
    <xf numFmtId="0" fontId="2" fillId="9" borderId="0"/>
    <xf numFmtId="0" fontId="2" fillId="10" borderId="0"/>
    <xf numFmtId="0" fontId="2" fillId="13" borderId="0"/>
    <xf numFmtId="0" fontId="2" fillId="14" borderId="0"/>
    <xf numFmtId="0" fontId="2" fillId="15" borderId="0"/>
    <xf numFmtId="0" fontId="2" fillId="16" borderId="0"/>
    <xf numFmtId="0" fontId="2" fillId="17" borderId="0"/>
    <xf numFmtId="0" fontId="2" fillId="18" borderId="0"/>
    <xf numFmtId="0" fontId="2" fillId="13" borderId="0"/>
    <xf numFmtId="0" fontId="2" fillId="14" borderId="0"/>
    <xf numFmtId="0" fontId="2" fillId="19" borderId="0"/>
    <xf numFmtId="0" fontId="3" fillId="3" borderId="0"/>
    <xf numFmtId="164" fontId="4" fillId="6" borderId="1">
      <alignment vertical="center"/>
    </xf>
    <xf numFmtId="164" fontId="4" fillId="6" borderId="1">
      <alignment vertical="center"/>
    </xf>
    <xf numFmtId="0" fontId="5" fillId="20" borderId="2"/>
    <xf numFmtId="0" fontId="6" fillId="21" borderId="3"/>
    <xf numFmtId="165" fontId="7" fillId="0" borderId="0"/>
    <xf numFmtId="0" fontId="8" fillId="20" borderId="4">
      <alignment horizontal="left" vertical="top" wrapText="1"/>
    </xf>
    <xf numFmtId="0" fontId="9" fillId="0" borderId="0"/>
    <xf numFmtId="0" fontId="10" fillId="20" borderId="5">
      <alignment vertical="center"/>
    </xf>
    <xf numFmtId="0" fontId="11" fillId="4" borderId="0"/>
    <xf numFmtId="0" fontId="12" fillId="0" borderId="6"/>
    <xf numFmtId="0" fontId="13" fillId="0" borderId="7"/>
    <xf numFmtId="0" fontId="14" fillId="0" borderId="8"/>
    <xf numFmtId="0" fontId="14" fillId="0" borderId="0"/>
    <xf numFmtId="164" fontId="15" fillId="22" borderId="9">
      <alignment vertical="center"/>
    </xf>
    <xf numFmtId="0" fontId="16" fillId="7" borderId="2"/>
    <xf numFmtId="0" fontId="17" fillId="0" borderId="10"/>
    <xf numFmtId="0" fontId="15" fillId="6" borderId="11">
      <alignment vertical="center"/>
      <protection locked="0"/>
    </xf>
    <xf numFmtId="0" fontId="18" fillId="0" borderId="0">
      <alignment horizontal="left" vertical="top"/>
    </xf>
    <xf numFmtId="0" fontId="19" fillId="22" borderId="0"/>
    <xf numFmtId="0" fontId="7" fillId="0" borderId="0"/>
    <xf numFmtId="0" fontId="4" fillId="0" borderId="0"/>
    <xf numFmtId="0" fontId="20" fillId="0" borderId="0"/>
    <xf numFmtId="0" fontId="4" fillId="0" borderId="0"/>
    <xf numFmtId="0" fontId="4" fillId="0" borderId="0"/>
    <xf numFmtId="0" fontId="4" fillId="0" borderId="0"/>
    <xf numFmtId="0" fontId="4" fillId="0" borderId="0"/>
    <xf numFmtId="0" fontId="21" fillId="0" borderId="0"/>
    <xf numFmtId="0" fontId="21" fillId="0" borderId="0"/>
    <xf numFmtId="0" fontId="7" fillId="0" borderId="0"/>
    <xf numFmtId="0" fontId="7" fillId="0" borderId="0"/>
    <xf numFmtId="0" fontId="7" fillId="0" borderId="0"/>
    <xf numFmtId="0" fontId="22" fillId="0" borderId="0"/>
    <xf numFmtId="0" fontId="22" fillId="0" borderId="0"/>
    <xf numFmtId="0" fontId="4" fillId="0" borderId="0"/>
    <xf numFmtId="0" fontId="1" fillId="0" borderId="0"/>
    <xf numFmtId="0" fontId="4" fillId="0" borderId="0"/>
    <xf numFmtId="0" fontId="4" fillId="0" borderId="0"/>
    <xf numFmtId="0" fontId="23" fillId="0" borderId="0"/>
    <xf numFmtId="0" fontId="1" fillId="23" borderId="12"/>
    <xf numFmtId="0" fontId="24" fillId="20" borderId="5"/>
    <xf numFmtId="9" fontId="22" fillId="0" borderId="0"/>
    <xf numFmtId="9" fontId="7" fillId="0" borderId="0"/>
    <xf numFmtId="164" fontId="25" fillId="24" borderId="0">
      <alignment vertical="center"/>
    </xf>
    <xf numFmtId="0" fontId="26" fillId="0" borderId="0"/>
    <xf numFmtId="164" fontId="27" fillId="0" borderId="0">
      <alignment vertical="center"/>
    </xf>
    <xf numFmtId="0" fontId="28" fillId="0" borderId="13"/>
    <xf numFmtId="0" fontId="29" fillId="0" borderId="0"/>
  </cellStyleXfs>
  <cellXfs count="84">
    <xf numFmtId="0" fontId="0" fillId="0" borderId="0" xfId="0"/>
    <xf numFmtId="167" fontId="36" fillId="26" borderId="15" xfId="60" applyNumberFormat="1" applyFont="1" applyFill="1" applyBorder="1" applyAlignment="1">
      <alignment horizontal="left" vertical="center" wrapText="1"/>
    </xf>
    <xf numFmtId="0" fontId="36" fillId="26" borderId="15" xfId="60" applyFont="1" applyFill="1" applyBorder="1" applyAlignment="1">
      <alignment horizontal="left" vertical="center" wrapText="1"/>
    </xf>
    <xf numFmtId="0" fontId="36" fillId="26" borderId="15" xfId="60" applyFont="1" applyFill="1" applyBorder="1" applyAlignment="1">
      <alignment horizontal="center" vertical="center"/>
    </xf>
    <xf numFmtId="0" fontId="35" fillId="27" borderId="17" xfId="47" applyFont="1" applyFill="1" applyBorder="1" applyAlignment="1">
      <alignment horizontal="right" vertical="center"/>
    </xf>
    <xf numFmtId="0" fontId="38" fillId="28" borderId="14" xfId="0" applyFont="1" applyFill="1" applyBorder="1" applyAlignment="1">
      <alignment horizontal="right" vertical="center"/>
    </xf>
    <xf numFmtId="0" fontId="42" fillId="0" borderId="14" xfId="0" applyFont="1" applyBorder="1" applyAlignment="1">
      <alignment vertical="top" wrapText="1"/>
    </xf>
    <xf numFmtId="0" fontId="38" fillId="31" borderId="14" xfId="0" applyFont="1" applyFill="1" applyBorder="1" applyAlignment="1">
      <alignment horizontal="center" vertical="center"/>
    </xf>
    <xf numFmtId="0" fontId="33" fillId="30" borderId="14" xfId="0" applyFont="1" applyFill="1" applyBorder="1" applyAlignment="1">
      <alignment horizontal="center" vertical="center"/>
    </xf>
    <xf numFmtId="0" fontId="33" fillId="29" borderId="14" xfId="0" applyFont="1" applyFill="1" applyBorder="1" applyAlignment="1">
      <alignment horizontal="center" vertical="center"/>
    </xf>
    <xf numFmtId="0" fontId="35" fillId="27" borderId="15" xfId="0" applyFont="1" applyFill="1" applyBorder="1" applyAlignment="1">
      <alignment vertical="center" wrapText="1"/>
    </xf>
    <xf numFmtId="0" fontId="36" fillId="0" borderId="14" xfId="55" applyFont="1" applyBorder="1" applyAlignment="1">
      <alignment vertical="center" wrapText="1"/>
    </xf>
    <xf numFmtId="0" fontId="35" fillId="27" borderId="14" xfId="55" applyFont="1" applyFill="1" applyBorder="1" applyAlignment="1">
      <alignment vertical="center" wrapText="1"/>
    </xf>
    <xf numFmtId="0" fontId="30" fillId="25" borderId="0" xfId="55" applyFont="1" applyFill="1"/>
    <xf numFmtId="0" fontId="31" fillId="26" borderId="0" xfId="55" applyFont="1" applyFill="1" applyBorder="1" applyAlignment="1">
      <alignment vertical="center"/>
    </xf>
    <xf numFmtId="0" fontId="0" fillId="0" borderId="0" xfId="0" applyBorder="1"/>
    <xf numFmtId="0" fontId="32" fillId="0" borderId="0" xfId="55" applyFont="1" applyBorder="1" applyAlignment="1">
      <alignment vertical="center"/>
    </xf>
    <xf numFmtId="0" fontId="33" fillId="0" borderId="0" xfId="55" applyFont="1" applyBorder="1" applyAlignment="1">
      <alignment vertical="center"/>
    </xf>
    <xf numFmtId="0" fontId="0" fillId="26" borderId="14" xfId="0" applyFill="1" applyBorder="1"/>
    <xf numFmtId="0" fontId="34" fillId="0" borderId="0" xfId="55" applyFont="1" applyBorder="1" applyAlignment="1">
      <alignment vertical="center"/>
    </xf>
    <xf numFmtId="0" fontId="35" fillId="27" borderId="14" xfId="55" applyFont="1" applyFill="1" applyBorder="1" applyAlignment="1">
      <alignment vertical="center" wrapText="1"/>
    </xf>
    <xf numFmtId="0" fontId="30" fillId="25" borderId="0" xfId="55" applyFont="1" applyFill="1" applyAlignment="1">
      <alignment horizontal="left" vertical="top" wrapText="1"/>
    </xf>
    <xf numFmtId="0" fontId="0" fillId="0" borderId="0" xfId="0" applyAlignment="1">
      <alignment wrapText="1"/>
    </xf>
    <xf numFmtId="0" fontId="31" fillId="0" borderId="0" xfId="55" applyFont="1" applyBorder="1" applyAlignment="1">
      <alignment vertical="center"/>
    </xf>
    <xf numFmtId="0" fontId="37" fillId="0" borderId="0" xfId="55" applyFont="1" applyBorder="1"/>
    <xf numFmtId="0" fontId="38" fillId="28" borderId="14" xfId="0" applyFont="1" applyFill="1" applyBorder="1" applyAlignment="1">
      <alignment horizontal="center" vertical="center" wrapText="1"/>
    </xf>
    <xf numFmtId="0" fontId="36" fillId="0" borderId="15" xfId="0" applyFont="1" applyBorder="1" applyAlignment="1">
      <alignment horizontal="left" vertical="center" wrapText="1"/>
    </xf>
    <xf numFmtId="0" fontId="36" fillId="0" borderId="15" xfId="59" applyFont="1" applyBorder="1" applyAlignment="1">
      <alignment horizontal="left" vertical="center" wrapText="1"/>
    </xf>
    <xf numFmtId="0" fontId="36" fillId="0" borderId="14" xfId="0" applyFont="1" applyBorder="1" applyAlignment="1">
      <alignment horizontal="left" vertical="center" wrapText="1"/>
    </xf>
    <xf numFmtId="0" fontId="36" fillId="0" borderId="14" xfId="59" applyFont="1" applyBorder="1" applyAlignment="1">
      <alignment horizontal="left" vertical="center" wrapText="1"/>
    </xf>
    <xf numFmtId="0" fontId="35" fillId="27" borderId="15" xfId="59" applyFont="1" applyFill="1" applyBorder="1" applyAlignment="1">
      <alignment vertical="center" wrapText="1"/>
    </xf>
    <xf numFmtId="0" fontId="39" fillId="0" borderId="0" xfId="0" applyFont="1" applyBorder="1" applyAlignment="1">
      <alignment horizontal="center"/>
    </xf>
    <xf numFmtId="49" fontId="39" fillId="0" borderId="0" xfId="0" applyNumberFormat="1" applyFont="1" applyBorder="1" applyAlignment="1">
      <alignment horizontal="center"/>
    </xf>
    <xf numFmtId="0" fontId="40" fillId="0" borderId="0" xfId="0" applyFont="1"/>
    <xf numFmtId="0" fontId="4" fillId="0" borderId="0" xfId="0" applyFont="1" applyBorder="1"/>
    <xf numFmtId="0" fontId="0" fillId="0" borderId="0" xfId="0" applyBorder="1" applyAlignment="1">
      <alignment horizontal="center"/>
    </xf>
    <xf numFmtId="0" fontId="41" fillId="0" borderId="0" xfId="0" applyFont="1"/>
    <xf numFmtId="0" fontId="0" fillId="0" borderId="0" xfId="0" applyAlignment="1">
      <alignment horizontal="center"/>
    </xf>
    <xf numFmtId="0" fontId="36" fillId="0" borderId="14" xfId="0" applyFont="1" applyBorder="1" applyAlignment="1">
      <alignment horizontal="center" vertical="top"/>
    </xf>
    <xf numFmtId="0" fontId="33" fillId="0" borderId="14" xfId="0" applyFont="1" applyBorder="1" applyAlignment="1">
      <alignment horizontal="left" vertical="top" wrapText="1"/>
    </xf>
    <xf numFmtId="0" fontId="36" fillId="0" borderId="14" xfId="0" applyFont="1" applyBorder="1" applyAlignment="1">
      <alignment horizontal="left" vertical="top" wrapText="1"/>
    </xf>
    <xf numFmtId="0" fontId="36" fillId="26" borderId="14" xfId="0" applyFont="1" applyFill="1" applyBorder="1" applyAlignment="1">
      <alignment horizontal="left" vertical="top" wrapText="1"/>
    </xf>
    <xf numFmtId="0" fontId="36" fillId="26" borderId="14" xfId="0" applyFont="1" applyFill="1" applyBorder="1" applyAlignment="1">
      <alignment horizontal="center" vertical="top"/>
    </xf>
    <xf numFmtId="49" fontId="36" fillId="26" borderId="14" xfId="0" applyNumberFormat="1" applyFont="1" applyFill="1" applyBorder="1" applyAlignment="1">
      <alignment horizontal="center" vertical="top"/>
    </xf>
    <xf numFmtId="0" fontId="4" fillId="0" borderId="0" xfId="0" applyFont="1" applyAlignment="1">
      <alignment wrapText="1"/>
    </xf>
    <xf numFmtId="0" fontId="43" fillId="0" borderId="0" xfId="0" applyFont="1"/>
    <xf numFmtId="0" fontId="44" fillId="25" borderId="0" xfId="61" applyFont="1" applyFill="1"/>
    <xf numFmtId="0" fontId="45" fillId="25" borderId="0" xfId="61" applyFont="1" applyFill="1"/>
    <xf numFmtId="0" fontId="4" fillId="0" borderId="0" xfId="0" applyFont="1"/>
    <xf numFmtId="0" fontId="46" fillId="0" borderId="0" xfId="49" applyFont="1" applyAlignment="1">
      <alignment horizontal="left" vertical="center"/>
    </xf>
    <xf numFmtId="0" fontId="4" fillId="0" borderId="0" xfId="49" applyFont="1" applyAlignment="1">
      <alignment horizontal="left" vertical="center" wrapText="1"/>
    </xf>
    <xf numFmtId="0" fontId="4" fillId="0" borderId="0" xfId="49" applyFont="1" applyAlignment="1">
      <alignment vertical="center"/>
    </xf>
    <xf numFmtId="0" fontId="47" fillId="0" borderId="0" xfId="49" applyFont="1" applyAlignment="1">
      <alignment horizontal="center" vertical="center"/>
    </xf>
    <xf numFmtId="0" fontId="48" fillId="0" borderId="0" xfId="60" applyFont="1" applyBorder="1" applyAlignment="1">
      <alignment vertical="center"/>
    </xf>
    <xf numFmtId="0" fontId="48" fillId="0" borderId="0" xfId="60" applyFont="1" applyBorder="1" applyAlignment="1">
      <alignment horizontal="center" vertical="center"/>
    </xf>
    <xf numFmtId="0" fontId="48" fillId="25" borderId="0" xfId="60" applyFont="1" applyFill="1" applyAlignment="1">
      <alignment horizontal="center" vertical="center"/>
    </xf>
    <xf numFmtId="0" fontId="46" fillId="25" borderId="0" xfId="49" applyFont="1" applyFill="1" applyAlignment="1">
      <alignment horizontal="left" vertical="center"/>
    </xf>
    <xf numFmtId="0" fontId="49" fillId="25" borderId="0" xfId="63" applyFont="1" applyFill="1" applyAlignment="1">
      <alignment horizontal="left" vertical="center" wrapText="1"/>
    </xf>
    <xf numFmtId="0" fontId="49" fillId="25" borderId="0" xfId="63" applyFont="1" applyFill="1" applyAlignment="1">
      <alignment vertical="center"/>
    </xf>
    <xf numFmtId="0" fontId="49" fillId="25" borderId="0" xfId="63" applyFont="1" applyFill="1" applyAlignment="1">
      <alignment horizontal="center" vertical="center"/>
    </xf>
    <xf numFmtId="0" fontId="4" fillId="25" borderId="0" xfId="49" applyFont="1" applyFill="1" applyAlignment="1">
      <alignment vertical="center"/>
    </xf>
    <xf numFmtId="166" fontId="38" fillId="28" borderId="14" xfId="0" applyNumberFormat="1" applyFont="1" applyFill="1" applyBorder="1" applyAlignment="1">
      <alignment horizontal="center" vertical="center" wrapText="1"/>
    </xf>
    <xf numFmtId="0" fontId="4" fillId="0" borderId="0" xfId="49" applyFont="1" applyAlignment="1">
      <alignment horizontal="center"/>
    </xf>
    <xf numFmtId="0" fontId="36" fillId="0" borderId="16" xfId="0" applyFont="1" applyBorder="1" applyAlignment="1">
      <alignment horizontal="left" vertical="top" wrapText="1"/>
    </xf>
    <xf numFmtId="1" fontId="36" fillId="0" borderId="14" xfId="0" applyNumberFormat="1" applyFont="1" applyBorder="1" applyAlignment="1">
      <alignment horizontal="center" vertical="top" wrapText="1"/>
    </xf>
    <xf numFmtId="1" fontId="36" fillId="26" borderId="14" xfId="49" applyNumberFormat="1" applyFont="1" applyFill="1" applyBorder="1" applyAlignment="1">
      <alignment horizontal="center" vertical="center" wrapText="1"/>
    </xf>
    <xf numFmtId="0" fontId="35" fillId="27" borderId="17" xfId="47" applyFont="1" applyFill="1" applyBorder="1" applyAlignment="1">
      <alignment horizontal="center" vertical="center"/>
    </xf>
    <xf numFmtId="1" fontId="35" fillId="27" borderId="17" xfId="49" applyNumberFormat="1" applyFont="1" applyFill="1" applyBorder="1" applyAlignment="1">
      <alignment horizontal="center" vertical="center"/>
    </xf>
    <xf numFmtId="0" fontId="4" fillId="0" borderId="0" xfId="0" applyFont="1" applyBorder="1" applyAlignment="1">
      <alignment horizontal="left" indent="1"/>
    </xf>
    <xf numFmtId="0" fontId="37" fillId="0" borderId="0" xfId="0" applyFont="1" applyBorder="1"/>
    <xf numFmtId="0" fontId="34" fillId="0" borderId="0" xfId="0" applyFont="1" applyBorder="1" applyAlignment="1">
      <alignment vertical="center"/>
    </xf>
    <xf numFmtId="0" fontId="33" fillId="0" borderId="14" xfId="0" applyFont="1" applyBorder="1" applyAlignment="1">
      <alignment horizontal="left" vertical="center" wrapText="1"/>
    </xf>
    <xf numFmtId="1" fontId="36" fillId="27" borderId="14" xfId="0" applyNumberFormat="1" applyFont="1" applyFill="1" applyBorder="1" applyAlignment="1">
      <alignment horizontal="center" vertical="center" wrapText="1"/>
    </xf>
    <xf numFmtId="0" fontId="35" fillId="26" borderId="14" xfId="0" applyFont="1" applyFill="1" applyBorder="1" applyAlignment="1">
      <alignment horizontal="center" vertical="center" wrapText="1"/>
    </xf>
    <xf numFmtId="0" fontId="38" fillId="28" borderId="14" xfId="62" applyFont="1" applyFill="1" applyBorder="1" applyAlignment="1">
      <alignment horizontal="center" vertical="center" wrapText="1"/>
    </xf>
    <xf numFmtId="0" fontId="36" fillId="26" borderId="15" xfId="60" applyFont="1" applyFill="1" applyBorder="1" applyAlignment="1">
      <alignment horizontal="left" vertical="center" wrapText="1"/>
    </xf>
    <xf numFmtId="0" fontId="36" fillId="26" borderId="14" xfId="60" applyFont="1" applyFill="1" applyBorder="1" applyAlignment="1">
      <alignment horizontal="left" vertical="center" wrapText="1"/>
    </xf>
    <xf numFmtId="0" fontId="36" fillId="0" borderId="0" xfId="60" applyFont="1" applyBorder="1" applyAlignment="1">
      <alignment vertical="center"/>
    </xf>
    <xf numFmtId="167" fontId="36" fillId="0" borderId="0" xfId="60" applyNumberFormat="1" applyFont="1" applyBorder="1" applyAlignment="1">
      <alignment vertical="center"/>
    </xf>
    <xf numFmtId="0" fontId="36" fillId="0" borderId="0" xfId="0" applyFont="1" applyBorder="1" applyAlignment="1">
      <alignment vertical="center"/>
    </xf>
    <xf numFmtId="0" fontId="41" fillId="0" borderId="0" xfId="0" applyFont="1" applyBorder="1" applyAlignment="1">
      <alignment vertical="center"/>
    </xf>
    <xf numFmtId="0" fontId="33" fillId="0" borderId="0" xfId="0" applyFont="1" applyBorder="1" applyAlignment="1">
      <alignment vertical="center"/>
    </xf>
    <xf numFmtId="0" fontId="50" fillId="0" borderId="0" xfId="0" applyFont="1" applyBorder="1" applyAlignment="1">
      <alignment vertical="center"/>
    </xf>
    <xf numFmtId="0" fontId="36" fillId="26" borderId="14" xfId="0" applyFont="1" applyFill="1" applyBorder="1" applyAlignment="1">
      <alignment horizontal="center" vertical="center" wrapText="1"/>
    </xf>
  </cellXfs>
  <cellStyles count="73">
    <cellStyle name="20% - Accent1 2" xfId="1" xr:uid="{00000000-0005-0000-0000-000006000000}"/>
    <cellStyle name="20% - Accent2 2" xfId="2" xr:uid="{00000000-0005-0000-0000-000007000000}"/>
    <cellStyle name="20% - Accent3 2" xfId="3" xr:uid="{00000000-0005-0000-0000-000008000000}"/>
    <cellStyle name="20% - Accent4 2" xfId="4" xr:uid="{00000000-0005-0000-0000-000009000000}"/>
    <cellStyle name="20% - Accent5 2" xfId="5" xr:uid="{00000000-0005-0000-0000-00000A000000}"/>
    <cellStyle name="20% - Accent6 2" xfId="6" xr:uid="{00000000-0005-0000-0000-00000B000000}"/>
    <cellStyle name="40% - Accent1 2" xfId="7" xr:uid="{00000000-0005-0000-0000-00000C000000}"/>
    <cellStyle name="40% - Accent2 2" xfId="8" xr:uid="{00000000-0005-0000-0000-00000D000000}"/>
    <cellStyle name="40% - Accent3 2" xfId="9" xr:uid="{00000000-0005-0000-0000-00000E000000}"/>
    <cellStyle name="40% - Accent4 2" xfId="10" xr:uid="{00000000-0005-0000-0000-00000F000000}"/>
    <cellStyle name="40% - Accent5 2" xfId="11" xr:uid="{00000000-0005-0000-0000-000010000000}"/>
    <cellStyle name="40% - Accent6 2" xfId="12" xr:uid="{00000000-0005-0000-0000-000011000000}"/>
    <cellStyle name="60% - Accent1 2" xfId="13" xr:uid="{00000000-0005-0000-0000-000012000000}"/>
    <cellStyle name="60% - Accent2 2" xfId="14" xr:uid="{00000000-0005-0000-0000-000013000000}"/>
    <cellStyle name="60% - Accent3 2" xfId="15" xr:uid="{00000000-0005-0000-0000-000014000000}"/>
    <cellStyle name="60% - Accent4 2" xfId="16" xr:uid="{00000000-0005-0000-0000-000015000000}"/>
    <cellStyle name="60% - Accent5 2" xfId="17" xr:uid="{00000000-0005-0000-0000-000016000000}"/>
    <cellStyle name="60% - Accent6 2" xfId="18" xr:uid="{00000000-0005-0000-0000-000017000000}"/>
    <cellStyle name="Accent1 2" xfId="19" xr:uid="{00000000-0005-0000-0000-000018000000}"/>
    <cellStyle name="Accent2 2" xfId="20" xr:uid="{00000000-0005-0000-0000-000019000000}"/>
    <cellStyle name="Accent3 2" xfId="21" xr:uid="{00000000-0005-0000-0000-00001A000000}"/>
    <cellStyle name="Accent4 2" xfId="22" xr:uid="{00000000-0005-0000-0000-00001B000000}"/>
    <cellStyle name="Accent5 2" xfId="23" xr:uid="{00000000-0005-0000-0000-00001C000000}"/>
    <cellStyle name="Accent6 2" xfId="24" xr:uid="{00000000-0005-0000-0000-00001D000000}"/>
    <cellStyle name="Bad 2" xfId="25" xr:uid="{00000000-0005-0000-0000-00001E000000}"/>
    <cellStyle name="Calc" xfId="26" xr:uid="{00000000-0005-0000-0000-00001F000000}"/>
    <cellStyle name="Calc 2" xfId="27" xr:uid="{00000000-0005-0000-0000-000020000000}"/>
    <cellStyle name="Calculation 2" xfId="28" xr:uid="{00000000-0005-0000-0000-000021000000}"/>
    <cellStyle name="Check Cell 2" xfId="29" xr:uid="{00000000-0005-0000-0000-000022000000}"/>
    <cellStyle name="Comma 2" xfId="30" xr:uid="{00000000-0005-0000-0000-000023000000}"/>
    <cellStyle name="Data" xfId="31" xr:uid="{00000000-0005-0000-0000-000024000000}"/>
    <cellStyle name="Explanatory Text 2" xfId="32" xr:uid="{00000000-0005-0000-0000-000025000000}"/>
    <cellStyle name="Feeder Field" xfId="33" xr:uid="{00000000-0005-0000-0000-000026000000}"/>
    <cellStyle name="Good 2" xfId="34" xr:uid="{00000000-0005-0000-0000-000027000000}"/>
    <cellStyle name="Heading 1 2" xfId="35" xr:uid="{00000000-0005-0000-0000-000028000000}"/>
    <cellStyle name="Heading 2 2" xfId="36" xr:uid="{00000000-0005-0000-0000-000029000000}"/>
    <cellStyle name="Heading 3 2" xfId="37" xr:uid="{00000000-0005-0000-0000-00002A000000}"/>
    <cellStyle name="Heading 4 2" xfId="38" xr:uid="{00000000-0005-0000-0000-00002B000000}"/>
    <cellStyle name="Input 1" xfId="39" xr:uid="{00000000-0005-0000-0000-00002C000000}"/>
    <cellStyle name="Input 2" xfId="40" xr:uid="{00000000-0005-0000-0000-00002D000000}"/>
    <cellStyle name="Linked Cell 2" xfId="41" xr:uid="{00000000-0005-0000-0000-00002E000000}"/>
    <cellStyle name="Named Range" xfId="42" xr:uid="{00000000-0005-0000-0000-00002F000000}"/>
    <cellStyle name="Named Range Tag" xfId="43" xr:uid="{00000000-0005-0000-0000-000030000000}"/>
    <cellStyle name="Neutral 2" xfId="44" xr:uid="{00000000-0005-0000-0000-000031000000}"/>
    <cellStyle name="Normal" xfId="0" builtinId="0"/>
    <cellStyle name="Normal 10" xfId="45" xr:uid="{00000000-0005-0000-0000-000032000000}"/>
    <cellStyle name="Normal 2" xfId="46" xr:uid="{00000000-0005-0000-0000-000033000000}"/>
    <cellStyle name="Normal 2 2" xfId="47" xr:uid="{00000000-0005-0000-0000-000034000000}"/>
    <cellStyle name="Normal 3" xfId="48" xr:uid="{00000000-0005-0000-0000-000035000000}"/>
    <cellStyle name="Normal 3 2" xfId="49" xr:uid="{00000000-0005-0000-0000-000036000000}"/>
    <cellStyle name="Normal 4" xfId="50" xr:uid="{00000000-0005-0000-0000-000037000000}"/>
    <cellStyle name="Normal 4 2" xfId="51" xr:uid="{00000000-0005-0000-0000-000038000000}"/>
    <cellStyle name="Normal 5" xfId="52" xr:uid="{00000000-0005-0000-0000-000039000000}"/>
    <cellStyle name="Normal 6" xfId="53" xr:uid="{00000000-0005-0000-0000-00003A000000}"/>
    <cellStyle name="Normal 7" xfId="54" xr:uid="{00000000-0005-0000-0000-00003B000000}"/>
    <cellStyle name="Normal 7 2" xfId="55" xr:uid="{00000000-0005-0000-0000-00003C000000}"/>
    <cellStyle name="Normal 7 2 2" xfId="56" xr:uid="{00000000-0005-0000-0000-00003D000000}"/>
    <cellStyle name="Normal 8" xfId="57" xr:uid="{00000000-0005-0000-0000-00003E000000}"/>
    <cellStyle name="Normal 8 2" xfId="58" xr:uid="{00000000-0005-0000-0000-00003F000000}"/>
    <cellStyle name="Normal 9" xfId="59" xr:uid="{00000000-0005-0000-0000-000040000000}"/>
    <cellStyle name="Normal_Al Borg -  Risk Assessment - 18.May.09" xfId="60" xr:uid="{00000000-0005-0000-0000-000041000000}"/>
    <cellStyle name="Normal_GMMOS - Risk Assessment Criteria - Jan09" xfId="61" xr:uid="{00000000-0005-0000-0000-000042000000}"/>
    <cellStyle name="Normal_MIS.Risk Assessment v7" xfId="62" xr:uid="{00000000-0005-0000-0000-000043000000}"/>
    <cellStyle name="Normal_Sheet3" xfId="63" xr:uid="{00000000-0005-0000-0000-000044000000}"/>
    <cellStyle name="Note 2" xfId="64" xr:uid="{00000000-0005-0000-0000-000045000000}"/>
    <cellStyle name="Output 2" xfId="65" xr:uid="{00000000-0005-0000-0000-000046000000}"/>
    <cellStyle name="Percent 2" xfId="66" xr:uid="{00000000-0005-0000-0000-000047000000}"/>
    <cellStyle name="Percent 3" xfId="67" xr:uid="{00000000-0005-0000-0000-000048000000}"/>
    <cellStyle name="Title 1" xfId="68" xr:uid="{00000000-0005-0000-0000-000049000000}"/>
    <cellStyle name="Title 2" xfId="69" xr:uid="{00000000-0005-0000-0000-00004A000000}"/>
    <cellStyle name="Title 3" xfId="70" xr:uid="{00000000-0005-0000-0000-00004B000000}"/>
    <cellStyle name="Total 2" xfId="71" xr:uid="{00000000-0005-0000-0000-00004C000000}"/>
    <cellStyle name="Warning Text 2" xfId="72" xr:uid="{00000000-0005-0000-0000-00004D000000}"/>
  </cellStyles>
  <dxfs count="26">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FFC000"/>
        </patternFill>
      </fill>
    </dxf>
    <dxf>
      <fill>
        <patternFill>
          <bgColor rgb="FFFFFF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FFF2CC"/>
      <rgbColor rgb="FF800000"/>
      <rgbColor rgb="FF008000"/>
      <rgbColor rgb="FF000080"/>
      <rgbColor rgb="FFFFC000"/>
      <rgbColor rgb="FF800080"/>
      <rgbColor rgb="FF00B050"/>
      <rgbColor rgb="FFC0C0C0"/>
      <rgbColor rgb="FF808080"/>
      <rgbColor rgb="FF9999FF"/>
      <rgbColor rgb="FFF04C3E"/>
      <rgbColor rgb="FFFFFFCC"/>
      <rgbColor rgb="FFCCFFFF"/>
      <rgbColor rgb="FF660066"/>
      <rgbColor rgb="FFFF8080"/>
      <rgbColor rgb="FF0066CC"/>
      <rgbColor rgb="FFCCCCFF"/>
      <rgbColor rgb="FF000080"/>
      <rgbColor rgb="FFFF00FF"/>
      <rgbColor rgb="FFFFED3F"/>
      <rgbColor rgb="FF00FFFF"/>
      <rgbColor rgb="FF800080"/>
      <rgbColor rgb="FF800000"/>
      <rgbColor rgb="FF1F4E78"/>
      <rgbColor rgb="FF0000FF"/>
      <rgbColor rgb="FF00CCFF"/>
      <rgbColor rgb="FFDDEBF7"/>
      <rgbColor rgb="FFCCFFCC"/>
      <rgbColor rgb="FFFFFF99"/>
      <rgbColor rgb="FF99CCFF"/>
      <rgbColor rgb="FFFF99CC"/>
      <rgbColor rgb="FFCC99FF"/>
      <rgbColor rgb="FFFFCC99"/>
      <rgbColor rgb="FF2E75B6"/>
      <rgbColor rgb="FF33CCCC"/>
      <rgbColor rgb="FF92D050"/>
      <rgbColor rgb="FFFFCC00"/>
      <rgbColor rgb="FFFF9900"/>
      <rgbColor rgb="FFFF6600"/>
      <rgbColor rgb="FFBFBFBF"/>
      <rgbColor rgb="FF969696"/>
      <rgbColor rgb="FF003366"/>
      <rgbColor rgb="FF2C973E"/>
      <rgbColor rgb="FF003300"/>
      <rgbColor rgb="FF40404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231840</xdr:colOff>
      <xdr:row>10</xdr:row>
      <xdr:rowOff>67680</xdr:rowOff>
    </xdr:from>
    <xdr:to>
      <xdr:col>12</xdr:col>
      <xdr:colOff>1452960</xdr:colOff>
      <xdr:row>13</xdr:row>
      <xdr:rowOff>183960</xdr:rowOff>
    </xdr:to>
    <xdr:pic>
      <xdr:nvPicPr>
        <xdr:cNvPr id="2" name="Picture 3">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4540400" y="4191840"/>
          <a:ext cx="5591160" cy="1450080"/>
        </a:xfrm>
        <a:prstGeom prst="rect">
          <a:avLst/>
        </a:prstGeom>
        <a:ln w="0">
          <a:noFill/>
        </a:ln>
      </xdr:spPr>
    </xdr:pic>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0"/>
  <sheetViews>
    <sheetView showGridLines="0" zoomScaleNormal="100" workbookViewId="0">
      <selection activeCell="B29" sqref="B29:F29"/>
    </sheetView>
  </sheetViews>
  <sheetFormatPr defaultColWidth="8.6640625" defaultRowHeight="13.2" zeroHeight="1"/>
  <cols>
    <col min="1" max="1" width="24" style="13" customWidth="1"/>
    <col min="2" max="6" width="18" style="13" customWidth="1"/>
  </cols>
  <sheetData>
    <row r="1" spans="1:8" ht="21.75" customHeight="1">
      <c r="A1" s="14" t="s">
        <v>0</v>
      </c>
      <c r="B1" s="15"/>
      <c r="C1" s="15"/>
      <c r="D1" s="15"/>
      <c r="E1" s="15"/>
      <c r="F1" s="15"/>
      <c r="G1" s="15"/>
      <c r="H1" s="15"/>
    </row>
    <row r="2" spans="1:8" ht="19.5" customHeight="1">
      <c r="A2" s="16" t="s">
        <v>1</v>
      </c>
      <c r="B2" s="15"/>
      <c r="C2" s="15"/>
      <c r="D2" s="15"/>
      <c r="E2" s="15"/>
      <c r="F2" s="15"/>
      <c r="G2" s="15"/>
      <c r="H2" s="15"/>
    </row>
    <row r="3" spans="1:8" ht="19.5" customHeight="1">
      <c r="A3" s="17" t="s">
        <v>2</v>
      </c>
      <c r="B3" s="18"/>
      <c r="C3" s="15"/>
      <c r="D3" s="15"/>
      <c r="E3" s="15"/>
      <c r="F3" s="15"/>
      <c r="G3" s="15"/>
      <c r="H3" s="15"/>
    </row>
    <row r="4" spans="1:8" ht="12.75" customHeight="1">
      <c r="A4" s="15"/>
      <c r="B4" s="15"/>
      <c r="C4" s="15"/>
      <c r="D4" s="15"/>
      <c r="E4" s="15"/>
      <c r="F4" s="15"/>
      <c r="G4" s="15"/>
      <c r="H4" s="15"/>
    </row>
    <row r="5" spans="1:8" ht="19.5" customHeight="1">
      <c r="A5" s="19" t="s">
        <v>3</v>
      </c>
      <c r="B5" s="15"/>
      <c r="C5" s="15"/>
      <c r="D5" s="15"/>
      <c r="E5" s="15"/>
      <c r="F5" s="15"/>
      <c r="G5" s="15"/>
      <c r="H5" s="15"/>
    </row>
    <row r="6" spans="1:8" ht="12.75" customHeight="1"/>
    <row r="7" spans="1:8" ht="12" customHeight="1">
      <c r="A7" s="12" t="s">
        <v>4</v>
      </c>
      <c r="B7" s="11" t="s">
        <v>5</v>
      </c>
      <c r="C7" s="11"/>
      <c r="D7" s="11"/>
      <c r="E7" s="11"/>
      <c r="F7" s="11"/>
    </row>
    <row r="8" spans="1:8" ht="12" customHeight="1">
      <c r="A8" s="12"/>
      <c r="B8" s="11"/>
      <c r="C8" s="11"/>
      <c r="D8" s="11"/>
      <c r="E8" s="11"/>
      <c r="F8" s="11"/>
    </row>
    <row r="9" spans="1:8" ht="12" customHeight="1">
      <c r="A9" s="12"/>
      <c r="B9" s="11"/>
      <c r="C9" s="11"/>
      <c r="D9" s="11"/>
      <c r="E9" s="11"/>
      <c r="F9" s="11"/>
    </row>
    <row r="10" spans="1:8" ht="12" customHeight="1">
      <c r="A10" s="12"/>
      <c r="B10" s="11"/>
      <c r="C10" s="11"/>
      <c r="D10" s="11"/>
      <c r="E10" s="11"/>
      <c r="F10" s="11"/>
    </row>
    <row r="11" spans="1:8" ht="12" customHeight="1">
      <c r="A11" s="12" t="s">
        <v>6</v>
      </c>
      <c r="B11" s="11" t="s">
        <v>7</v>
      </c>
      <c r="C11" s="11"/>
      <c r="D11" s="11"/>
      <c r="E11" s="11"/>
      <c r="F11" s="11"/>
    </row>
    <row r="12" spans="1:8" ht="12" customHeight="1">
      <c r="A12" s="12"/>
      <c r="B12" s="11"/>
      <c r="C12" s="11"/>
      <c r="D12" s="11"/>
      <c r="E12" s="11"/>
      <c r="F12" s="11"/>
    </row>
    <row r="13" spans="1:8" ht="12" customHeight="1">
      <c r="A13" s="12"/>
      <c r="B13" s="11"/>
      <c r="C13" s="11"/>
      <c r="D13" s="11"/>
      <c r="E13" s="11"/>
      <c r="F13" s="11"/>
    </row>
    <row r="14" spans="1:8" ht="12" customHeight="1">
      <c r="A14" s="12"/>
      <c r="B14" s="11"/>
      <c r="C14" s="11"/>
      <c r="D14" s="11"/>
      <c r="E14" s="11"/>
      <c r="F14" s="11"/>
    </row>
    <row r="15" spans="1:8" ht="12" customHeight="1">
      <c r="A15" s="12"/>
      <c r="B15" s="11"/>
      <c r="C15" s="11"/>
      <c r="D15" s="11"/>
      <c r="E15" s="11"/>
      <c r="F15" s="11"/>
    </row>
    <row r="16" spans="1:8" ht="12" customHeight="1">
      <c r="A16" s="12"/>
      <c r="B16" s="11"/>
      <c r="C16" s="11"/>
      <c r="D16" s="11"/>
      <c r="E16" s="11"/>
      <c r="F16" s="11"/>
    </row>
    <row r="17" spans="1:6" ht="12" customHeight="1">
      <c r="A17" s="12" t="s">
        <v>8</v>
      </c>
      <c r="B17" s="11" t="s">
        <v>9</v>
      </c>
      <c r="C17" s="11"/>
      <c r="D17" s="11"/>
      <c r="E17" s="11"/>
      <c r="F17" s="11"/>
    </row>
    <row r="18" spans="1:6" ht="12" customHeight="1">
      <c r="A18" s="12"/>
      <c r="B18" s="11"/>
      <c r="C18" s="11"/>
      <c r="D18" s="11"/>
      <c r="E18" s="11"/>
      <c r="F18" s="11"/>
    </row>
    <row r="19" spans="1:6" ht="12" customHeight="1">
      <c r="A19" s="12"/>
      <c r="B19" s="11"/>
      <c r="C19" s="11"/>
      <c r="D19" s="11"/>
      <c r="E19" s="11"/>
      <c r="F19" s="11"/>
    </row>
    <row r="20" spans="1:6" ht="12" customHeight="1">
      <c r="A20" s="12"/>
      <c r="B20" s="11"/>
      <c r="C20" s="11"/>
      <c r="D20" s="11"/>
      <c r="E20" s="11"/>
      <c r="F20" s="11"/>
    </row>
    <row r="21" spans="1:6" ht="12" customHeight="1">
      <c r="A21" s="12"/>
      <c r="B21" s="11"/>
      <c r="C21" s="11"/>
      <c r="D21" s="11"/>
      <c r="E21" s="11"/>
      <c r="F21" s="11"/>
    </row>
    <row r="22" spans="1:6" ht="12" customHeight="1">
      <c r="A22" s="12" t="s">
        <v>10</v>
      </c>
      <c r="B22" s="11" t="s">
        <v>11</v>
      </c>
      <c r="C22" s="11"/>
      <c r="D22" s="11"/>
      <c r="E22" s="11"/>
      <c r="F22" s="11"/>
    </row>
    <row r="23" spans="1:6" ht="12" customHeight="1">
      <c r="A23" s="12"/>
      <c r="B23" s="11"/>
      <c r="C23" s="11"/>
      <c r="D23" s="11"/>
      <c r="E23" s="11"/>
      <c r="F23" s="11"/>
    </row>
    <row r="24" spans="1:6" ht="12" customHeight="1">
      <c r="A24" s="12"/>
      <c r="B24" s="11"/>
      <c r="C24" s="11"/>
      <c r="D24" s="11"/>
      <c r="E24" s="11"/>
      <c r="F24" s="11"/>
    </row>
    <row r="25" spans="1:6" ht="12" customHeight="1">
      <c r="A25" s="12"/>
      <c r="B25" s="11"/>
      <c r="C25" s="11"/>
      <c r="D25" s="11"/>
      <c r="E25" s="11"/>
      <c r="F25" s="11"/>
    </row>
    <row r="26" spans="1:6" ht="12" customHeight="1">
      <c r="A26" s="12"/>
      <c r="B26" s="11"/>
      <c r="C26" s="11"/>
      <c r="D26" s="11"/>
      <c r="E26" s="11"/>
      <c r="F26" s="11"/>
    </row>
    <row r="27" spans="1:6" ht="12" customHeight="1">
      <c r="A27" s="12"/>
      <c r="B27" s="11"/>
      <c r="C27" s="11"/>
      <c r="D27" s="11"/>
      <c r="E27" s="11"/>
      <c r="F27" s="11"/>
    </row>
    <row r="28" spans="1:6" ht="12" customHeight="1">
      <c r="A28" s="12"/>
      <c r="B28" s="11"/>
      <c r="C28" s="11"/>
      <c r="D28" s="11"/>
      <c r="E28" s="11"/>
      <c r="F28" s="11"/>
    </row>
    <row r="29" spans="1:6" ht="30" customHeight="1">
      <c r="A29" s="20" t="s">
        <v>12</v>
      </c>
      <c r="B29" s="11" t="s">
        <v>13</v>
      </c>
      <c r="C29" s="11"/>
      <c r="D29" s="11"/>
      <c r="E29" s="11"/>
      <c r="F29" s="11"/>
    </row>
    <row r="30" spans="1:6">
      <c r="B30" s="21"/>
      <c r="C30" s="21"/>
      <c r="D30" s="21"/>
      <c r="E30" s="21"/>
      <c r="F30" s="21"/>
    </row>
  </sheetData>
  <mergeCells count="9">
    <mergeCell ref="A22:A28"/>
    <mergeCell ref="B22:F28"/>
    <mergeCell ref="B29:F29"/>
    <mergeCell ref="A7:A10"/>
    <mergeCell ref="B7:F10"/>
    <mergeCell ref="A11:A16"/>
    <mergeCell ref="B11:F16"/>
    <mergeCell ref="A17:A21"/>
    <mergeCell ref="B17:F21"/>
  </mergeCells>
  <pageMargins left="0.4" right="0.4" top="0.5" bottom="0.5" header="0.511811023622047" footer="0.5"/>
  <pageSetup paperSize="9" fitToHeight="0" orientation="portrait" horizontalDpi="300" verticalDpi="300"/>
  <headerFooter>
    <oddFooter>&amp;C&amp;8 &amp;A  –  Page &amp;P /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8"/>
  <sheetViews>
    <sheetView showGridLines="0" tabSelected="1" zoomScaleNormal="100" workbookViewId="0">
      <pane xSplit="1" ySplit="7" topLeftCell="B8" activePane="bottomRight" state="frozen"/>
      <selection pane="topRight" activeCell="B1" sqref="B1"/>
      <selection pane="bottomLeft" activeCell="A8" sqref="A8"/>
      <selection pane="bottomRight" activeCell="A5" sqref="A5"/>
    </sheetView>
  </sheetViews>
  <sheetFormatPr defaultColWidth="8.6640625" defaultRowHeight="13.2"/>
  <cols>
    <col min="1" max="1" width="30" customWidth="1"/>
    <col min="2" max="5" width="26" style="22" customWidth="1"/>
  </cols>
  <sheetData>
    <row r="1" spans="1:8" ht="21.75" customHeight="1">
      <c r="A1" s="23" t="str">
        <f>'0. Introduction'!A1</f>
        <v>Company Name</v>
      </c>
      <c r="B1" s="15"/>
      <c r="C1" s="15"/>
      <c r="D1" s="15"/>
      <c r="E1" s="15"/>
      <c r="F1" s="15"/>
      <c r="G1" s="15"/>
      <c r="H1" s="15"/>
    </row>
    <row r="2" spans="1:8" ht="19.5" customHeight="1">
      <c r="A2" s="16" t="s">
        <v>1</v>
      </c>
      <c r="B2" s="15"/>
      <c r="C2" s="15"/>
      <c r="D2" s="15"/>
      <c r="E2" s="15"/>
      <c r="F2" s="15"/>
      <c r="G2" s="15"/>
      <c r="H2" s="15"/>
    </row>
    <row r="3" spans="1:8" ht="19.5" customHeight="1">
      <c r="A3" s="17" t="str">
        <f>'0. Introduction'!A3</f>
        <v>Year:</v>
      </c>
      <c r="B3" s="15"/>
      <c r="C3" s="15"/>
      <c r="D3" s="15"/>
      <c r="E3" s="15"/>
      <c r="F3" s="15"/>
      <c r="G3" s="15"/>
      <c r="H3" s="15"/>
    </row>
    <row r="4" spans="1:8" ht="18" customHeight="1">
      <c r="A4" s="24"/>
      <c r="B4" s="15"/>
      <c r="C4" s="15"/>
      <c r="D4" s="15"/>
      <c r="E4" s="15"/>
      <c r="F4" s="15"/>
      <c r="G4" s="15"/>
      <c r="H4" s="15"/>
    </row>
    <row r="5" spans="1:8" ht="19.5" customHeight="1">
      <c r="A5" s="19" t="s">
        <v>14</v>
      </c>
      <c r="B5" s="15"/>
      <c r="C5" s="15"/>
      <c r="D5" s="15"/>
      <c r="E5" s="15"/>
      <c r="F5" s="15"/>
      <c r="G5" s="15"/>
      <c r="H5" s="15"/>
    </row>
    <row r="7" spans="1:8" ht="21.75" customHeight="1">
      <c r="A7" s="25" t="s">
        <v>15</v>
      </c>
      <c r="B7" s="25" t="s">
        <v>16</v>
      </c>
      <c r="C7" s="25" t="s">
        <v>17</v>
      </c>
      <c r="D7" s="25" t="s">
        <v>18</v>
      </c>
      <c r="E7" s="25" t="s">
        <v>19</v>
      </c>
    </row>
    <row r="8" spans="1:8" ht="18" customHeight="1">
      <c r="A8" s="10" t="s">
        <v>20</v>
      </c>
      <c r="B8" s="26" t="s">
        <v>21</v>
      </c>
      <c r="C8" s="27"/>
      <c r="D8" s="27"/>
      <c r="E8" s="27"/>
    </row>
    <row r="9" spans="1:8" ht="18" customHeight="1">
      <c r="A9" s="10"/>
      <c r="B9" s="28" t="s">
        <v>22</v>
      </c>
      <c r="C9" s="28"/>
      <c r="D9" s="28"/>
      <c r="E9" s="28"/>
    </row>
    <row r="10" spans="1:8" ht="18" customHeight="1">
      <c r="A10" s="10" t="s">
        <v>23</v>
      </c>
      <c r="B10" s="26" t="s">
        <v>24</v>
      </c>
      <c r="C10" s="27"/>
      <c r="D10" s="27"/>
      <c r="E10" s="27"/>
    </row>
    <row r="11" spans="1:8" ht="18" customHeight="1">
      <c r="A11" s="10"/>
      <c r="B11" s="28" t="s">
        <v>25</v>
      </c>
      <c r="C11" s="29"/>
      <c r="D11" s="29"/>
      <c r="E11" s="29"/>
    </row>
    <row r="12" spans="1:8" ht="18" customHeight="1">
      <c r="A12" s="10" t="s">
        <v>26</v>
      </c>
      <c r="B12" s="27" t="s">
        <v>27</v>
      </c>
      <c r="C12" s="26"/>
      <c r="D12" s="26"/>
      <c r="E12" s="26"/>
    </row>
    <row r="13" spans="1:8" ht="18" customHeight="1">
      <c r="A13" s="10"/>
      <c r="B13" s="29" t="s">
        <v>28</v>
      </c>
      <c r="C13" s="28"/>
      <c r="D13" s="28"/>
      <c r="E13" s="28"/>
    </row>
    <row r="14" spans="1:8" ht="18" customHeight="1">
      <c r="A14" s="10" t="s">
        <v>29</v>
      </c>
      <c r="B14" s="27" t="s">
        <v>30</v>
      </c>
      <c r="C14" s="27"/>
      <c r="D14" s="27"/>
      <c r="E14" s="27"/>
    </row>
    <row r="15" spans="1:8" ht="18" customHeight="1">
      <c r="A15" s="10"/>
      <c r="B15" s="29" t="s">
        <v>31</v>
      </c>
      <c r="C15" s="29"/>
      <c r="D15" s="29"/>
      <c r="E15" s="29"/>
    </row>
    <row r="16" spans="1:8" ht="18" customHeight="1">
      <c r="A16" s="10"/>
      <c r="B16" s="29" t="s">
        <v>32</v>
      </c>
      <c r="C16" s="28"/>
      <c r="D16" s="28"/>
      <c r="E16" s="28"/>
    </row>
    <row r="17" spans="1:5" ht="18" customHeight="1">
      <c r="A17" s="10"/>
      <c r="B17" s="29" t="s">
        <v>33</v>
      </c>
      <c r="C17" s="28"/>
      <c r="D17" s="28"/>
      <c r="E17" s="28"/>
    </row>
    <row r="18" spans="1:5" ht="18" customHeight="1">
      <c r="A18" s="10" t="s">
        <v>34</v>
      </c>
      <c r="B18" s="26" t="s">
        <v>35</v>
      </c>
      <c r="C18" s="26"/>
      <c r="D18" s="26"/>
      <c r="E18" s="26"/>
    </row>
    <row r="19" spans="1:5" ht="18" customHeight="1">
      <c r="A19" s="10"/>
      <c r="B19" s="29" t="s">
        <v>36</v>
      </c>
      <c r="C19" s="29"/>
      <c r="D19" s="29"/>
      <c r="E19" s="29"/>
    </row>
    <row r="20" spans="1:5" ht="18" customHeight="1">
      <c r="A20" s="10" t="s">
        <v>37</v>
      </c>
      <c r="B20" s="27"/>
      <c r="C20" s="27" t="s">
        <v>38</v>
      </c>
      <c r="D20" s="27" t="s">
        <v>38</v>
      </c>
      <c r="E20" s="27" t="s">
        <v>38</v>
      </c>
    </row>
    <row r="21" spans="1:5" ht="18" customHeight="1">
      <c r="A21" s="10"/>
      <c r="B21" s="29"/>
      <c r="C21" s="29" t="s">
        <v>39</v>
      </c>
      <c r="D21" s="29" t="s">
        <v>39</v>
      </c>
      <c r="E21" s="29" t="s">
        <v>39</v>
      </c>
    </row>
    <row r="22" spans="1:5" ht="18" customHeight="1">
      <c r="A22" s="30" t="s">
        <v>40</v>
      </c>
      <c r="B22" s="27"/>
      <c r="C22" s="27" t="s">
        <v>40</v>
      </c>
      <c r="D22" s="27"/>
      <c r="E22" s="27" t="s">
        <v>40</v>
      </c>
    </row>
    <row r="23" spans="1:5" ht="18" customHeight="1">
      <c r="A23" s="10" t="s">
        <v>41</v>
      </c>
      <c r="B23" s="27"/>
      <c r="C23" s="27" t="s">
        <v>17</v>
      </c>
      <c r="D23" s="27" t="s">
        <v>42</v>
      </c>
      <c r="E23" s="27" t="s">
        <v>43</v>
      </c>
    </row>
    <row r="24" spans="1:5" ht="18" customHeight="1">
      <c r="A24" s="10"/>
      <c r="B24" s="29"/>
      <c r="C24" s="29" t="s">
        <v>44</v>
      </c>
      <c r="D24" s="29"/>
      <c r="E24" s="29"/>
    </row>
    <row r="25" spans="1:5" ht="18" customHeight="1">
      <c r="A25" s="10" t="s">
        <v>45</v>
      </c>
      <c r="B25" s="26"/>
      <c r="C25" s="27" t="s">
        <v>46</v>
      </c>
      <c r="D25" s="27" t="s">
        <v>47</v>
      </c>
      <c r="E25" s="27" t="s">
        <v>48</v>
      </c>
    </row>
    <row r="26" spans="1:5" ht="18" customHeight="1">
      <c r="A26" s="10"/>
      <c r="B26" s="28"/>
      <c r="C26" s="29" t="s">
        <v>49</v>
      </c>
      <c r="D26" s="29" t="s">
        <v>42</v>
      </c>
      <c r="E26" s="29" t="s">
        <v>50</v>
      </c>
    </row>
    <row r="27" spans="1:5" ht="18" customHeight="1">
      <c r="A27" s="10"/>
      <c r="B27" s="28"/>
      <c r="C27" s="29" t="s">
        <v>51</v>
      </c>
      <c r="D27" s="29" t="s">
        <v>52</v>
      </c>
      <c r="E27" s="29" t="s">
        <v>53</v>
      </c>
    </row>
    <row r="28" spans="1:5" ht="18" customHeight="1">
      <c r="A28" s="10"/>
      <c r="B28" s="28"/>
      <c r="C28" s="29" t="s">
        <v>54</v>
      </c>
      <c r="D28" s="29" t="s">
        <v>55</v>
      </c>
      <c r="E28" s="29"/>
    </row>
  </sheetData>
  <mergeCells count="8">
    <mergeCell ref="A20:A21"/>
    <mergeCell ref="A23:A24"/>
    <mergeCell ref="A25:A28"/>
    <mergeCell ref="A8:A9"/>
    <mergeCell ref="A10:A11"/>
    <mergeCell ref="A12:A13"/>
    <mergeCell ref="A14:A17"/>
    <mergeCell ref="A18:A19"/>
  </mergeCells>
  <pageMargins left="0.4" right="0.4" top="0.5" bottom="0.5" header="0.511811023622047" footer="0.3"/>
  <pageSetup paperSize="9" fitToHeight="0" orientation="landscape" horizontalDpi="300" verticalDpi="300"/>
  <headerFooter>
    <oddFooter>&amp;C&amp;8 &amp;A  –  Page &amp;P /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43"/>
  <sheetViews>
    <sheetView showGridLines="0" zoomScaleNormal="100" workbookViewId="0">
      <pane xSplit="2" ySplit="7" topLeftCell="C35" activePane="bottomRight" state="frozen"/>
      <selection pane="topRight" activeCell="C1" sqref="C1"/>
      <selection pane="bottomLeft" activeCell="A8" sqref="A8"/>
      <selection pane="bottomRight" activeCell="C39" sqref="C39"/>
    </sheetView>
  </sheetViews>
  <sheetFormatPr defaultColWidth="8.6640625" defaultRowHeight="13.2"/>
  <cols>
    <col min="1" max="1" width="7" customWidth="1"/>
    <col min="2" max="2" width="28" customWidth="1"/>
    <col min="3" max="3" width="62" customWidth="1"/>
    <col min="4" max="4" width="40" style="22" customWidth="1"/>
    <col min="5" max="5" width="16" customWidth="1"/>
    <col min="6" max="6" width="11" customWidth="1"/>
    <col min="7" max="7" width="36" style="22" customWidth="1"/>
    <col min="8" max="8" width="3" customWidth="1"/>
    <col min="9" max="10" width="12" customWidth="1"/>
    <col min="11" max="11" width="16" customWidth="1"/>
    <col min="12" max="15" width="22" customWidth="1"/>
    <col min="16" max="16" width="4" customWidth="1"/>
  </cols>
  <sheetData>
    <row r="1" spans="1:15" ht="21.75" customHeight="1">
      <c r="A1" s="23" t="str">
        <f>'0. Introduction'!A1</f>
        <v>Company Name</v>
      </c>
      <c r="B1" s="15"/>
      <c r="C1" s="15"/>
      <c r="D1" s="15"/>
      <c r="E1" s="31" t="s">
        <v>56</v>
      </c>
      <c r="F1" s="32">
        <v>1</v>
      </c>
      <c r="G1" s="15"/>
      <c r="H1" s="15"/>
    </row>
    <row r="2" spans="1:15" ht="19.5" customHeight="1">
      <c r="A2" s="16" t="s">
        <v>1</v>
      </c>
      <c r="B2" s="15"/>
      <c r="C2" s="15"/>
      <c r="D2" s="15"/>
      <c r="E2" s="31" t="s">
        <v>57</v>
      </c>
      <c r="F2" s="32">
        <v>2</v>
      </c>
      <c r="G2" s="15"/>
      <c r="H2" s="15"/>
    </row>
    <row r="3" spans="1:15" ht="19.5" customHeight="1">
      <c r="A3" s="17" t="str">
        <f>'0. Introduction'!A3</f>
        <v>Year:</v>
      </c>
      <c r="B3" s="15"/>
      <c r="C3" s="15"/>
      <c r="D3" s="15"/>
      <c r="E3" s="31" t="s">
        <v>58</v>
      </c>
      <c r="F3" s="32">
        <v>3</v>
      </c>
      <c r="G3" s="15"/>
      <c r="H3" s="15"/>
      <c r="I3" s="33"/>
    </row>
    <row r="4" spans="1:15" ht="18" customHeight="1">
      <c r="A4" s="24"/>
      <c r="B4" s="15"/>
      <c r="C4" s="15"/>
      <c r="D4" s="15"/>
      <c r="E4" s="31"/>
      <c r="F4" s="32">
        <v>4</v>
      </c>
      <c r="G4" s="15"/>
      <c r="H4" s="15"/>
      <c r="I4" s="33"/>
    </row>
    <row r="5" spans="1:15" ht="19.5" customHeight="1">
      <c r="A5" s="19" t="s">
        <v>59</v>
      </c>
      <c r="B5" s="15"/>
      <c r="C5" s="15"/>
      <c r="D5" s="15"/>
      <c r="E5" s="34"/>
      <c r="F5" s="35"/>
      <c r="G5" s="15"/>
      <c r="H5" s="15"/>
      <c r="I5" s="36" t="s">
        <v>60</v>
      </c>
    </row>
    <row r="6" spans="1:15">
      <c r="F6" s="37"/>
    </row>
    <row r="7" spans="1:15" ht="30" customHeight="1">
      <c r="A7" s="25" t="s">
        <v>61</v>
      </c>
      <c r="B7" s="25" t="s">
        <v>62</v>
      </c>
      <c r="C7" s="25" t="s">
        <v>63</v>
      </c>
      <c r="D7" s="25" t="s">
        <v>64</v>
      </c>
      <c r="E7" s="25" t="s">
        <v>65</v>
      </c>
      <c r="F7" s="25" t="s">
        <v>66</v>
      </c>
      <c r="G7" s="25" t="s">
        <v>67</v>
      </c>
      <c r="I7" s="9" t="s">
        <v>56</v>
      </c>
      <c r="J7" s="9"/>
      <c r="K7" s="9"/>
      <c r="L7" s="8" t="s">
        <v>57</v>
      </c>
      <c r="M7" s="8"/>
      <c r="N7" s="7" t="s">
        <v>58</v>
      </c>
      <c r="O7" s="7"/>
    </row>
    <row r="8" spans="1:15" ht="96" customHeight="1">
      <c r="A8" s="38" t="s">
        <v>68</v>
      </c>
      <c r="B8" s="39" t="s">
        <v>69</v>
      </c>
      <c r="C8" s="40" t="s">
        <v>70</v>
      </c>
      <c r="D8" s="41"/>
      <c r="E8" s="42" t="s">
        <v>58</v>
      </c>
      <c r="F8" s="43">
        <v>3</v>
      </c>
      <c r="G8" s="41"/>
      <c r="I8" s="6" t="s">
        <v>71</v>
      </c>
      <c r="J8" s="6"/>
      <c r="K8" s="6"/>
      <c r="L8" s="6" t="s">
        <v>72</v>
      </c>
      <c r="M8" s="6"/>
      <c r="N8" s="6" t="s">
        <v>73</v>
      </c>
      <c r="O8" s="6"/>
    </row>
    <row r="9" spans="1:15" ht="30.75" customHeight="1">
      <c r="A9" s="38" t="s">
        <v>74</v>
      </c>
      <c r="B9" s="39" t="s">
        <v>75</v>
      </c>
      <c r="C9" s="40" t="s">
        <v>76</v>
      </c>
      <c r="D9" s="41"/>
      <c r="E9" s="42"/>
      <c r="F9" s="43">
        <v>1</v>
      </c>
      <c r="G9" s="41"/>
      <c r="I9" s="44"/>
      <c r="J9" s="22"/>
      <c r="K9" s="22"/>
      <c r="L9" s="44"/>
      <c r="M9" s="22"/>
      <c r="N9" s="44"/>
      <c r="O9" s="22"/>
    </row>
    <row r="10" spans="1:15" ht="57" customHeight="1">
      <c r="A10" s="38" t="s">
        <v>77</v>
      </c>
      <c r="B10" s="39" t="s">
        <v>78</v>
      </c>
      <c r="C10" s="40" t="s">
        <v>79</v>
      </c>
      <c r="D10" s="41"/>
      <c r="E10" s="42" t="s">
        <v>57</v>
      </c>
      <c r="F10" s="43">
        <v>1</v>
      </c>
      <c r="G10" s="41"/>
      <c r="I10" s="36" t="s">
        <v>80</v>
      </c>
      <c r="J10" s="22"/>
      <c r="K10" s="22"/>
      <c r="L10" s="44"/>
      <c r="M10" s="22"/>
      <c r="N10" s="44"/>
      <c r="O10" s="22"/>
    </row>
    <row r="11" spans="1:15" ht="30.75" customHeight="1">
      <c r="A11" s="38" t="s">
        <v>81</v>
      </c>
      <c r="B11" s="39" t="s">
        <v>82</v>
      </c>
      <c r="C11" s="40" t="s">
        <v>83</v>
      </c>
      <c r="D11" s="41"/>
      <c r="E11" s="42" t="s">
        <v>56</v>
      </c>
      <c r="F11" s="43">
        <v>3</v>
      </c>
      <c r="G11" s="41"/>
      <c r="I11" s="45"/>
    </row>
    <row r="12" spans="1:15" ht="43.5" customHeight="1">
      <c r="A12" s="38" t="s">
        <v>84</v>
      </c>
      <c r="B12" s="39" t="s">
        <v>85</v>
      </c>
      <c r="C12" s="40" t="s">
        <v>86</v>
      </c>
      <c r="D12" s="41"/>
      <c r="E12" s="42"/>
      <c r="F12" s="43">
        <v>2</v>
      </c>
      <c r="G12" s="41"/>
      <c r="I12" s="45"/>
    </row>
    <row r="13" spans="1:15" ht="30.75" customHeight="1">
      <c r="A13" s="38" t="s">
        <v>87</v>
      </c>
      <c r="B13" s="39" t="s">
        <v>88</v>
      </c>
      <c r="C13" s="40" t="s">
        <v>89</v>
      </c>
      <c r="D13" s="41"/>
      <c r="E13" s="42"/>
      <c r="F13" s="43">
        <v>2</v>
      </c>
      <c r="G13" s="41"/>
    </row>
    <row r="14" spans="1:15" ht="43.5" customHeight="1">
      <c r="A14" s="38" t="s">
        <v>90</v>
      </c>
      <c r="B14" s="39" t="s">
        <v>91</v>
      </c>
      <c r="C14" s="40" t="s">
        <v>92</v>
      </c>
      <c r="D14" s="41"/>
      <c r="E14" s="42"/>
      <c r="F14" s="43">
        <v>2</v>
      </c>
      <c r="G14" s="41"/>
    </row>
    <row r="15" spans="1:15" ht="30.75" customHeight="1">
      <c r="A15" s="38" t="s">
        <v>93</v>
      </c>
      <c r="B15" s="39" t="s">
        <v>94</v>
      </c>
      <c r="C15" s="40" t="s">
        <v>95</v>
      </c>
      <c r="D15" s="41"/>
      <c r="E15" s="42"/>
      <c r="F15" s="43">
        <v>2</v>
      </c>
      <c r="G15" s="41"/>
      <c r="I15" s="33"/>
    </row>
    <row r="16" spans="1:15" ht="30.75" customHeight="1">
      <c r="A16" s="38" t="s">
        <v>96</v>
      </c>
      <c r="B16" s="39" t="s">
        <v>97</v>
      </c>
      <c r="C16" s="40" t="s">
        <v>98</v>
      </c>
      <c r="D16" s="41"/>
      <c r="E16" s="42"/>
      <c r="F16" s="43">
        <v>2</v>
      </c>
      <c r="G16" s="41"/>
      <c r="I16" s="33"/>
    </row>
    <row r="17" spans="1:12" ht="30.75" customHeight="1">
      <c r="A17" s="38" t="s">
        <v>99</v>
      </c>
      <c r="B17" s="39" t="s">
        <v>100</v>
      </c>
      <c r="C17" s="40" t="s">
        <v>101</v>
      </c>
      <c r="D17" s="41"/>
      <c r="E17" s="42"/>
      <c r="F17" s="43">
        <v>2</v>
      </c>
      <c r="G17" s="41"/>
    </row>
    <row r="18" spans="1:12" ht="43.5" customHeight="1">
      <c r="A18" s="38" t="s">
        <v>102</v>
      </c>
      <c r="B18" s="39" t="s">
        <v>103</v>
      </c>
      <c r="C18" s="40" t="s">
        <v>104</v>
      </c>
      <c r="D18" s="41"/>
      <c r="E18" s="42"/>
      <c r="F18" s="43">
        <v>2</v>
      </c>
      <c r="G18" s="41"/>
    </row>
    <row r="19" spans="1:12" ht="43.5" customHeight="1">
      <c r="A19" s="38" t="s">
        <v>105</v>
      </c>
      <c r="B19" s="39" t="s">
        <v>106</v>
      </c>
      <c r="C19" s="40" t="s">
        <v>107</v>
      </c>
      <c r="D19" s="41"/>
      <c r="E19" s="42"/>
      <c r="F19" s="43">
        <v>2</v>
      </c>
      <c r="G19" s="41"/>
    </row>
    <row r="20" spans="1:12" ht="30.75" customHeight="1">
      <c r="A20" s="38" t="s">
        <v>108</v>
      </c>
      <c r="B20" s="39" t="s">
        <v>109</v>
      </c>
      <c r="C20" s="40" t="s">
        <v>110</v>
      </c>
      <c r="D20" s="41"/>
      <c r="E20" s="42"/>
      <c r="F20" s="43">
        <v>2</v>
      </c>
      <c r="G20" s="41"/>
      <c r="I20" s="33"/>
    </row>
    <row r="21" spans="1:12" ht="43.5" customHeight="1">
      <c r="A21" s="38" t="s">
        <v>111</v>
      </c>
      <c r="B21" s="39" t="s">
        <v>112</v>
      </c>
      <c r="C21" s="40" t="s">
        <v>113</v>
      </c>
      <c r="D21" s="41"/>
      <c r="E21" s="42"/>
      <c r="F21" s="43">
        <v>2</v>
      </c>
      <c r="G21" s="41"/>
      <c r="K21" s="46"/>
    </row>
    <row r="22" spans="1:12" ht="43.5" customHeight="1">
      <c r="A22" s="38" t="s">
        <v>114</v>
      </c>
      <c r="B22" s="39" t="s">
        <v>115</v>
      </c>
      <c r="C22" s="40" t="s">
        <v>116</v>
      </c>
      <c r="D22" s="41"/>
      <c r="E22" s="42"/>
      <c r="F22" s="43">
        <v>2</v>
      </c>
      <c r="G22" s="41"/>
      <c r="L22" s="47"/>
    </row>
    <row r="23" spans="1:12" ht="43.5" customHeight="1">
      <c r="A23" s="38" t="s">
        <v>117</v>
      </c>
      <c r="B23" s="39" t="s">
        <v>118</v>
      </c>
      <c r="C23" s="40" t="s">
        <v>119</v>
      </c>
      <c r="D23" s="41"/>
      <c r="E23" s="42"/>
      <c r="F23" s="43">
        <v>2</v>
      </c>
      <c r="G23" s="41"/>
      <c r="L23" s="47"/>
    </row>
    <row r="24" spans="1:12" ht="30.75" customHeight="1">
      <c r="A24" s="38" t="s">
        <v>120</v>
      </c>
      <c r="B24" s="39" t="s">
        <v>121</v>
      </c>
      <c r="C24" s="40" t="s">
        <v>122</v>
      </c>
      <c r="D24" s="41"/>
      <c r="E24" s="42"/>
      <c r="F24" s="43">
        <v>2</v>
      </c>
      <c r="G24" s="41"/>
      <c r="L24" s="47"/>
    </row>
    <row r="25" spans="1:12" ht="30.75" customHeight="1">
      <c r="A25" s="38" t="s">
        <v>123</v>
      </c>
      <c r="B25" s="39" t="s">
        <v>124</v>
      </c>
      <c r="C25" s="40" t="s">
        <v>125</v>
      </c>
      <c r="D25" s="41"/>
      <c r="E25" s="42"/>
      <c r="F25" s="43">
        <v>2</v>
      </c>
      <c r="G25" s="41"/>
      <c r="I25" s="48"/>
      <c r="L25" s="47"/>
    </row>
    <row r="26" spans="1:12" ht="43.5" customHeight="1">
      <c r="A26" s="38" t="s">
        <v>126</v>
      </c>
      <c r="B26" s="39" t="s">
        <v>127</v>
      </c>
      <c r="C26" s="40" t="s">
        <v>128</v>
      </c>
      <c r="D26" s="41"/>
      <c r="E26" s="42"/>
      <c r="F26" s="43">
        <v>2</v>
      </c>
      <c r="G26" s="41"/>
    </row>
    <row r="27" spans="1:12" ht="43.5" customHeight="1">
      <c r="A27" s="38" t="s">
        <v>129</v>
      </c>
      <c r="B27" s="39" t="s">
        <v>130</v>
      </c>
      <c r="C27" s="40" t="s">
        <v>131</v>
      </c>
      <c r="D27" s="41"/>
      <c r="E27" s="42"/>
      <c r="F27" s="43">
        <v>2</v>
      </c>
      <c r="G27" s="41"/>
      <c r="I27" s="33"/>
      <c r="K27" s="47"/>
      <c r="L27" s="47"/>
    </row>
    <row r="28" spans="1:12" ht="82.5" customHeight="1">
      <c r="A28" s="38" t="s">
        <v>132</v>
      </c>
      <c r="B28" s="39" t="s">
        <v>133</v>
      </c>
      <c r="C28" s="40" t="s">
        <v>134</v>
      </c>
      <c r="D28" s="41"/>
      <c r="E28" s="42"/>
      <c r="F28" s="43">
        <v>2</v>
      </c>
      <c r="G28" s="41"/>
    </row>
    <row r="29" spans="1:12" ht="43.5" customHeight="1">
      <c r="A29" s="38" t="s">
        <v>135</v>
      </c>
      <c r="B29" s="39" t="s">
        <v>136</v>
      </c>
      <c r="C29" s="40" t="s">
        <v>137</v>
      </c>
      <c r="D29" s="41"/>
      <c r="E29" s="42"/>
      <c r="F29" s="43">
        <v>2</v>
      </c>
      <c r="G29" s="41"/>
    </row>
    <row r="30" spans="1:12" ht="30.75" customHeight="1">
      <c r="A30" s="38" t="s">
        <v>138</v>
      </c>
      <c r="B30" s="39" t="s">
        <v>139</v>
      </c>
      <c r="C30" s="40" t="s">
        <v>140</v>
      </c>
      <c r="D30" s="41"/>
      <c r="E30" s="42"/>
      <c r="F30" s="43">
        <v>2</v>
      </c>
      <c r="G30" s="41"/>
    </row>
    <row r="31" spans="1:12" ht="30.75" customHeight="1">
      <c r="A31" s="38" t="s">
        <v>141</v>
      </c>
      <c r="B31" s="39" t="s">
        <v>142</v>
      </c>
      <c r="C31" s="40" t="s">
        <v>143</v>
      </c>
      <c r="D31" s="41"/>
      <c r="E31" s="42"/>
      <c r="F31" s="43">
        <v>2</v>
      </c>
      <c r="G31" s="41"/>
    </row>
    <row r="32" spans="1:12" ht="30.75" customHeight="1">
      <c r="A32" s="38" t="s">
        <v>144</v>
      </c>
      <c r="B32" s="39" t="s">
        <v>145</v>
      </c>
      <c r="C32" s="40" t="s">
        <v>146</v>
      </c>
      <c r="D32" s="41"/>
      <c r="E32" s="42"/>
      <c r="F32" s="43">
        <v>2</v>
      </c>
      <c r="G32" s="41"/>
    </row>
    <row r="33" spans="1:7" ht="30.75" customHeight="1">
      <c r="A33" s="38" t="s">
        <v>147</v>
      </c>
      <c r="B33" s="39" t="s">
        <v>148</v>
      </c>
      <c r="C33" s="40" t="s">
        <v>149</v>
      </c>
      <c r="D33" s="41"/>
      <c r="E33" s="42"/>
      <c r="F33" s="43">
        <v>2</v>
      </c>
      <c r="G33" s="41"/>
    </row>
    <row r="34" spans="1:7" ht="30.75" customHeight="1">
      <c r="A34" s="38" t="s">
        <v>150</v>
      </c>
      <c r="B34" s="39" t="s">
        <v>151</v>
      </c>
      <c r="C34" s="40" t="s">
        <v>152</v>
      </c>
      <c r="D34" s="41"/>
      <c r="E34" s="42"/>
      <c r="F34" s="43">
        <v>2</v>
      </c>
      <c r="G34" s="41"/>
    </row>
    <row r="35" spans="1:7" ht="57" customHeight="1">
      <c r="A35" s="38" t="s">
        <v>153</v>
      </c>
      <c r="B35" s="39" t="s">
        <v>154</v>
      </c>
      <c r="C35" s="40" t="s">
        <v>155</v>
      </c>
      <c r="D35" s="41"/>
      <c r="E35" s="42"/>
      <c r="F35" s="43">
        <v>2</v>
      </c>
      <c r="G35" s="41"/>
    </row>
    <row r="36" spans="1:7" ht="30.75" customHeight="1">
      <c r="A36" s="38" t="s">
        <v>156</v>
      </c>
      <c r="B36" s="39" t="s">
        <v>157</v>
      </c>
      <c r="C36" s="40" t="s">
        <v>158</v>
      </c>
      <c r="D36" s="41"/>
      <c r="E36" s="42"/>
      <c r="F36" s="43">
        <v>2</v>
      </c>
      <c r="G36" s="41"/>
    </row>
    <row r="37" spans="1:7" ht="43.5" customHeight="1">
      <c r="A37" s="38" t="s">
        <v>159</v>
      </c>
      <c r="B37" s="39" t="s">
        <v>160</v>
      </c>
      <c r="C37" s="40" t="s">
        <v>161</v>
      </c>
      <c r="D37" s="41"/>
      <c r="E37" s="42"/>
      <c r="F37" s="43">
        <v>2</v>
      </c>
      <c r="G37" s="41"/>
    </row>
    <row r="38" spans="1:7" ht="30.75" customHeight="1">
      <c r="A38" s="38" t="s">
        <v>162</v>
      </c>
      <c r="B38" s="39" t="s">
        <v>163</v>
      </c>
      <c r="C38" s="40" t="s">
        <v>164</v>
      </c>
      <c r="D38" s="41"/>
      <c r="E38" s="42"/>
      <c r="F38" s="43">
        <v>2</v>
      </c>
      <c r="G38" s="41"/>
    </row>
    <row r="39" spans="1:7" ht="30.75" customHeight="1">
      <c r="A39" s="38" t="s">
        <v>165</v>
      </c>
      <c r="B39" s="39" t="s">
        <v>166</v>
      </c>
      <c r="C39" s="40" t="s">
        <v>167</v>
      </c>
      <c r="D39" s="41"/>
      <c r="E39" s="42"/>
      <c r="F39" s="43">
        <v>2</v>
      </c>
      <c r="G39" s="41"/>
    </row>
    <row r="40" spans="1:7" ht="43.5" customHeight="1">
      <c r="A40" s="38" t="s">
        <v>168</v>
      </c>
      <c r="B40" s="39" t="s">
        <v>169</v>
      </c>
      <c r="C40" s="40" t="s">
        <v>170</v>
      </c>
      <c r="D40" s="41"/>
      <c r="E40" s="42"/>
      <c r="F40" s="43">
        <v>2</v>
      </c>
      <c r="G40" s="41"/>
    </row>
    <row r="41" spans="1:7" ht="43.5" customHeight="1">
      <c r="A41" s="38" t="s">
        <v>171</v>
      </c>
      <c r="B41" s="39" t="s">
        <v>172</v>
      </c>
      <c r="C41" s="40" t="s">
        <v>173</v>
      </c>
      <c r="D41" s="41"/>
      <c r="E41" s="42"/>
      <c r="F41" s="43">
        <v>2</v>
      </c>
      <c r="G41" s="41"/>
    </row>
    <row r="42" spans="1:7" ht="30.75" customHeight="1">
      <c r="A42" s="38" t="s">
        <v>174</v>
      </c>
      <c r="B42" s="39" t="s">
        <v>175</v>
      </c>
      <c r="C42" s="40" t="s">
        <v>176</v>
      </c>
      <c r="D42" s="41"/>
      <c r="E42" s="42"/>
      <c r="F42" s="43">
        <v>2</v>
      </c>
      <c r="G42" s="41"/>
    </row>
    <row r="43" spans="1:7" ht="30.75" customHeight="1">
      <c r="A43" s="38" t="s">
        <v>177</v>
      </c>
      <c r="B43" s="39" t="s">
        <v>178</v>
      </c>
      <c r="C43" s="40" t="s">
        <v>179</v>
      </c>
      <c r="D43" s="41"/>
      <c r="E43" s="42"/>
      <c r="F43" s="43">
        <v>2</v>
      </c>
      <c r="G43" s="41"/>
    </row>
  </sheetData>
  <autoFilter ref="A7:G27" xr:uid="{00000000-0009-0000-0000-000002000000}"/>
  <mergeCells count="6">
    <mergeCell ref="I7:K7"/>
    <mergeCell ref="L7:M7"/>
    <mergeCell ref="N7:O7"/>
    <mergeCell ref="I8:K8"/>
    <mergeCell ref="L8:M8"/>
    <mergeCell ref="N8:O8"/>
  </mergeCells>
  <conditionalFormatting sqref="E8:E43">
    <cfRule type="cellIs" dxfId="25" priority="6" operator="equal">
      <formula>$E$3</formula>
    </cfRule>
    <cfRule type="cellIs" dxfId="24" priority="7" operator="equal">
      <formula>$E$2</formula>
    </cfRule>
    <cfRule type="cellIs" dxfId="23" priority="8" operator="equal">
      <formula>$E$1</formula>
    </cfRule>
  </conditionalFormatting>
  <conditionalFormatting sqref="F8:F43">
    <cfRule type="cellIs" dxfId="22" priority="2" operator="equal">
      <formula>4</formula>
    </cfRule>
    <cfRule type="cellIs" dxfId="21" priority="3" operator="equal">
      <formula>3</formula>
    </cfRule>
    <cfRule type="cellIs" dxfId="20" priority="4" operator="equal">
      <formula>2</formula>
    </cfRule>
    <cfRule type="cellIs" dxfId="19" priority="5" operator="equal">
      <formula>1</formula>
    </cfRule>
  </conditionalFormatting>
  <conditionalFormatting sqref="K11:K14">
    <cfRule type="containsText" dxfId="18" priority="10" operator="containsText" text="Low">
      <formula>NOT(ISERROR(SEARCH("Low",K11)))</formula>
    </cfRule>
    <cfRule type="containsText" dxfId="17" priority="11" operator="containsText" text="Medium">
      <formula>NOT(ISERROR(SEARCH("Medium",K11)))</formula>
    </cfRule>
    <cfRule type="containsText" dxfId="16" priority="12" operator="containsText" text="High">
      <formula>NOT(ISERROR(SEARCH("High",K11)))</formula>
    </cfRule>
    <cfRule type="containsText" dxfId="15" priority="13" operator="containsText" text="Critical">
      <formula>NOT(ISERROR(SEARCH("Critical",K11)))</formula>
    </cfRule>
  </conditionalFormatting>
  <conditionalFormatting sqref="K11:L14">
    <cfRule type="containsText" dxfId="14" priority="9" operator="containsText" text="Very high">
      <formula>NOT(ISERROR(SEARCH("Very high",K11)))</formula>
    </cfRule>
  </conditionalFormatting>
  <conditionalFormatting sqref="L7 N7 K15:P16">
    <cfRule type="containsText" dxfId="13" priority="20" operator="containsText" text="Low">
      <formula>NOT(ISERROR(SEARCH("Low",K7)))</formula>
    </cfRule>
    <cfRule type="containsText" dxfId="12" priority="21" operator="containsText" text="Medium">
      <formula>NOT(ISERROR(SEARCH("Medium",K7)))</formula>
    </cfRule>
    <cfRule type="containsText" dxfId="11" priority="22" operator="containsText" text="High">
      <formula>NOT(ISERROR(SEARCH("High",K7)))</formula>
    </cfRule>
    <cfRule type="containsText" dxfId="10" priority="23" operator="containsText" text="Critical">
      <formula>NOT(ISERROR(SEARCH("Critical",K7)))</formula>
    </cfRule>
  </conditionalFormatting>
  <conditionalFormatting sqref="L7 N7 M14:O14 K15:P16">
    <cfRule type="containsText" dxfId="9" priority="19" operator="containsText" text="Very high">
      <formula>NOT(ISERROR(SEARCH("Very high",K7)))</formula>
    </cfRule>
  </conditionalFormatting>
  <conditionalFormatting sqref="P7:Q7">
    <cfRule type="containsText" dxfId="8" priority="14" operator="containsText" text="Very high">
      <formula>NOT(ISERROR(SEARCH("Very high",P7)))</formula>
    </cfRule>
    <cfRule type="containsText" dxfId="7" priority="15" operator="containsText" text="Low">
      <formula>NOT(ISERROR(SEARCH("Low",P7)))</formula>
    </cfRule>
    <cfRule type="containsText" dxfId="6" priority="16" operator="containsText" text="Medium">
      <formula>NOT(ISERROR(SEARCH("Medium",P7)))</formula>
    </cfRule>
    <cfRule type="containsText" dxfId="5" priority="17" operator="containsText" text="High">
      <formula>NOT(ISERROR(SEARCH("High",P7)))</formula>
    </cfRule>
    <cfRule type="containsText" dxfId="4" priority="18" operator="containsText" text="Critical">
      <formula>NOT(ISERROR(SEARCH("Critical",P7)))</formula>
    </cfRule>
  </conditionalFormatting>
  <dataValidations count="2">
    <dataValidation type="list" allowBlank="1" showInputMessage="1" showErrorMessage="1" sqref="E8:E43" xr:uid="{00000000-0002-0000-0200-000000000000}">
      <formula1>$E$1:$E$3</formula1>
      <formula2>0</formula2>
    </dataValidation>
    <dataValidation type="list" allowBlank="1" showInputMessage="1" showErrorMessage="1" sqref="F8:F43" xr:uid="{00000000-0002-0000-0200-000001000000}">
      <formula1>$F$1:$F$4</formula1>
      <formula2>0</formula2>
    </dataValidation>
  </dataValidations>
  <pageMargins left="0.4" right="0.4" top="0.5" bottom="0.5" header="0.511811023622047" footer="0.3"/>
  <pageSetup paperSize="9" fitToHeight="0" orientation="landscape" horizontalDpi="300" verticalDpi="300"/>
  <headerFooter>
    <oddFooter>&amp;C&amp;8 &amp;A  –  Page &amp;P /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Q45"/>
  <sheetViews>
    <sheetView showGridLines="0" zoomScaleNormal="100" zoomScalePageLayoutView="20" workbookViewId="0">
      <pane xSplit="5" ySplit="8" topLeftCell="F14" activePane="bottomRight" state="frozen"/>
      <selection pane="topRight" activeCell="F1" sqref="F1"/>
      <selection pane="bottomLeft" activeCell="A9" sqref="A9"/>
      <selection pane="bottomRight" activeCell="G6" sqref="G6"/>
    </sheetView>
  </sheetViews>
  <sheetFormatPr defaultColWidth="9.109375" defaultRowHeight="13.2"/>
  <cols>
    <col min="1" max="1" width="2" style="49" customWidth="1"/>
    <col min="2" max="2" width="7" style="50" customWidth="1"/>
    <col min="3" max="3" width="28" style="50" customWidth="1"/>
    <col min="4" max="4" width="55" style="51" customWidth="1"/>
    <col min="5" max="5" width="9" style="51" customWidth="1"/>
    <col min="6" max="17" width="12" style="52" customWidth="1"/>
  </cols>
  <sheetData>
    <row r="1" spans="1:17" ht="21.75" customHeight="1">
      <c r="A1" s="23" t="str">
        <f>'0. Introduction'!A1</f>
        <v>Company Name</v>
      </c>
      <c r="B1" s="15"/>
      <c r="C1" s="15"/>
      <c r="D1" s="15"/>
      <c r="E1" s="15"/>
      <c r="F1" s="15"/>
      <c r="G1" s="15"/>
      <c r="H1" s="15"/>
    </row>
    <row r="2" spans="1:17" ht="19.5" customHeight="1">
      <c r="A2" s="16" t="s">
        <v>1</v>
      </c>
      <c r="B2" s="53"/>
      <c r="C2" s="53"/>
      <c r="D2" s="53"/>
      <c r="E2" s="53"/>
      <c r="F2" s="54"/>
      <c r="G2" s="54"/>
      <c r="H2" s="54"/>
      <c r="I2" s="55"/>
      <c r="J2" s="55"/>
      <c r="K2" s="55"/>
      <c r="L2" s="55"/>
      <c r="M2" s="55"/>
      <c r="N2" s="55"/>
      <c r="O2" s="55"/>
      <c r="P2" s="55"/>
      <c r="Q2" s="55"/>
    </row>
    <row r="3" spans="1:17" ht="19.5" customHeight="1">
      <c r="A3" s="17" t="str">
        <f>'0. Introduction'!A3</f>
        <v>Year:</v>
      </c>
      <c r="B3" s="53"/>
      <c r="C3" s="53"/>
      <c r="D3" s="53"/>
      <c r="E3" s="53"/>
      <c r="F3" s="54"/>
      <c r="G3" s="54"/>
      <c r="H3" s="54"/>
      <c r="I3" s="55"/>
      <c r="J3" s="55"/>
      <c r="K3" s="55"/>
      <c r="L3" s="55"/>
      <c r="M3" s="55"/>
      <c r="N3" s="55"/>
      <c r="O3" s="55"/>
      <c r="P3" s="55"/>
      <c r="Q3" s="55"/>
    </row>
    <row r="4" spans="1:17" ht="12.75" customHeight="1">
      <c r="A4" s="24"/>
      <c r="B4" s="53"/>
      <c r="C4" s="53"/>
      <c r="D4" s="53"/>
      <c r="E4" s="53"/>
      <c r="F4" s="54"/>
      <c r="G4" s="54"/>
      <c r="H4" s="54"/>
      <c r="I4" s="55"/>
      <c r="J4" s="55"/>
      <c r="K4" s="55"/>
      <c r="L4" s="55"/>
      <c r="M4" s="55"/>
      <c r="N4" s="55"/>
      <c r="O4" s="55"/>
      <c r="P4" s="55"/>
      <c r="Q4" s="55"/>
    </row>
    <row r="5" spans="1:17" ht="19.5" customHeight="1">
      <c r="A5" s="19" t="s">
        <v>180</v>
      </c>
      <c r="B5" s="53"/>
      <c r="C5" s="53"/>
      <c r="D5" s="53"/>
      <c r="E5" s="53"/>
      <c r="F5" s="54"/>
      <c r="G5" s="54"/>
      <c r="H5" s="54"/>
      <c r="I5" s="55"/>
      <c r="J5" s="55"/>
      <c r="K5" s="55"/>
      <c r="L5" s="55"/>
      <c r="M5" s="55"/>
      <c r="N5" s="55"/>
      <c r="O5" s="55"/>
      <c r="P5" s="55"/>
      <c r="Q5" s="55"/>
    </row>
    <row r="6" spans="1:17" s="60" customFormat="1" ht="12.75" customHeight="1">
      <c r="A6" s="56"/>
      <c r="B6" s="57"/>
      <c r="C6" s="57"/>
      <c r="D6" s="58"/>
      <c r="E6" s="58"/>
      <c r="F6" s="59"/>
      <c r="G6" s="59"/>
      <c r="H6" s="59"/>
      <c r="I6" s="59"/>
      <c r="J6" s="59"/>
      <c r="K6" s="59"/>
      <c r="L6" s="59"/>
      <c r="M6" s="59"/>
      <c r="N6" s="59"/>
      <c r="O6" s="59"/>
      <c r="P6" s="59"/>
      <c r="Q6" s="59"/>
    </row>
    <row r="7" spans="1:17" ht="31.5" customHeight="1">
      <c r="A7" s="5" t="s">
        <v>181</v>
      </c>
      <c r="B7" s="5"/>
      <c r="C7" s="5"/>
      <c r="D7" s="5"/>
      <c r="E7" s="25"/>
      <c r="F7" s="61" t="s">
        <v>182</v>
      </c>
      <c r="G7" s="61" t="s">
        <v>183</v>
      </c>
      <c r="H7" s="61" t="s">
        <v>184</v>
      </c>
      <c r="I7" s="61" t="s">
        <v>184</v>
      </c>
      <c r="J7" s="61" t="s">
        <v>45</v>
      </c>
      <c r="K7" s="61" t="s">
        <v>185</v>
      </c>
      <c r="L7" s="61" t="s">
        <v>26</v>
      </c>
      <c r="M7" s="61" t="s">
        <v>29</v>
      </c>
      <c r="N7" s="61" t="s">
        <v>34</v>
      </c>
      <c r="O7" s="61" t="s">
        <v>20</v>
      </c>
      <c r="P7" s="61" t="s">
        <v>23</v>
      </c>
      <c r="Q7" s="61" t="s">
        <v>41</v>
      </c>
    </row>
    <row r="8" spans="1:17" s="62" customFormat="1" ht="19.5" customHeight="1">
      <c r="A8" s="25"/>
      <c r="B8" s="25" t="s">
        <v>61</v>
      </c>
      <c r="C8" s="25" t="s">
        <v>186</v>
      </c>
      <c r="D8" s="25" t="s">
        <v>63</v>
      </c>
      <c r="E8" s="25" t="s">
        <v>187</v>
      </c>
      <c r="F8" s="25"/>
      <c r="G8" s="25"/>
      <c r="H8" s="25"/>
      <c r="I8" s="25"/>
      <c r="J8" s="25"/>
      <c r="K8" s="25"/>
      <c r="L8" s="25"/>
      <c r="M8" s="25"/>
      <c r="N8" s="25"/>
      <c r="O8" s="25"/>
      <c r="P8" s="25"/>
      <c r="Q8" s="25"/>
    </row>
    <row r="9" spans="1:17" ht="30.75" customHeight="1">
      <c r="A9" s="63"/>
      <c r="B9" s="38" t="str">
        <f>'2. Risk sheet'!A8</f>
        <v>R01</v>
      </c>
      <c r="C9" s="39" t="str">
        <f>'2. Risk sheet'!B8</f>
        <v>Third party relationships</v>
      </c>
      <c r="D9" s="40" t="str">
        <f>'2. Risk sheet'!C8</f>
        <v>Ineffective management oversight of contracted third party service providers’ performance and compliance.</v>
      </c>
      <c r="E9" s="64">
        <f>'2. Risk sheet'!F8</f>
        <v>3</v>
      </c>
      <c r="F9" s="65"/>
      <c r="G9" s="65"/>
      <c r="H9" s="65"/>
      <c r="I9" s="65"/>
      <c r="J9" s="65"/>
      <c r="K9" s="65"/>
      <c r="L9" s="65"/>
      <c r="M9" s="65"/>
      <c r="N9" s="65"/>
      <c r="O9" s="65"/>
      <c r="P9" s="65"/>
      <c r="Q9" s="65"/>
    </row>
    <row r="10" spans="1:17" ht="30.75" customHeight="1">
      <c r="A10" s="63"/>
      <c r="B10" s="38" t="str">
        <f>'2. Risk sheet'!A9</f>
        <v>R02</v>
      </c>
      <c r="C10" s="39" t="str">
        <f>'2. Risk sheet'!B9</f>
        <v>Ineffective vendor selection process</v>
      </c>
      <c r="D10" s="40" t="str">
        <f>'2. Risk sheet'!C9</f>
        <v>Failure to identify quality and cost effective third party suppliers</v>
      </c>
      <c r="E10" s="64">
        <f>'2. Risk sheet'!F9</f>
        <v>1</v>
      </c>
      <c r="F10" s="65"/>
      <c r="G10" s="65"/>
      <c r="H10" s="65"/>
      <c r="I10" s="65"/>
      <c r="J10" s="65"/>
      <c r="K10" s="65"/>
      <c r="L10" s="65"/>
      <c r="M10" s="65"/>
      <c r="N10" s="65"/>
      <c r="O10" s="65"/>
      <c r="P10" s="65"/>
      <c r="Q10" s="65"/>
    </row>
    <row r="11" spans="1:17" ht="57" customHeight="1">
      <c r="A11" s="63"/>
      <c r="B11" s="38" t="str">
        <f>'2. Risk sheet'!A10</f>
        <v>R03</v>
      </c>
      <c r="C11" s="39" t="str">
        <f>'2. Risk sheet'!B10</f>
        <v>Customs compliance and duty reduction</v>
      </c>
      <c r="D11" s="40" t="str">
        <f>'2. Risk sheet'!C10</f>
        <v>Inability to identify opportunities to eliminate customs duty throughout the supply chain. Misinterpretation of cross-border and customs legislation leads to overpaid duties and delays at the border.</v>
      </c>
      <c r="E11" s="64">
        <f>'2. Risk sheet'!F10</f>
        <v>1</v>
      </c>
      <c r="F11" s="65"/>
      <c r="G11" s="65"/>
      <c r="H11" s="65"/>
      <c r="I11" s="65"/>
      <c r="J11" s="65"/>
      <c r="K11" s="65"/>
      <c r="L11" s="65"/>
      <c r="M11" s="65"/>
      <c r="N11" s="65"/>
      <c r="O11" s="65"/>
      <c r="P11" s="65"/>
      <c r="Q11" s="65"/>
    </row>
    <row r="12" spans="1:17" ht="30.75" customHeight="1">
      <c r="A12" s="63"/>
      <c r="B12" s="38" t="str">
        <f>'2. Risk sheet'!A11</f>
        <v>R04</v>
      </c>
      <c r="C12" s="39" t="str">
        <f>'2. Risk sheet'!B11</f>
        <v>Planning and forecasting demands</v>
      </c>
      <c r="D12" s="40" t="str">
        <f>'2. Risk sheet'!C11</f>
        <v>Failure to forecast clients’ demand leading to failure in capacity utilization</v>
      </c>
      <c r="E12" s="64">
        <f>'2. Risk sheet'!F11</f>
        <v>3</v>
      </c>
      <c r="F12" s="65"/>
      <c r="G12" s="65"/>
      <c r="H12" s="65"/>
      <c r="I12" s="65"/>
      <c r="J12" s="65"/>
      <c r="K12" s="65"/>
      <c r="L12" s="65"/>
      <c r="M12" s="65"/>
      <c r="N12" s="65"/>
      <c r="O12" s="65"/>
      <c r="P12" s="65"/>
      <c r="Q12" s="65"/>
    </row>
    <row r="13" spans="1:17" ht="43.5" customHeight="1">
      <c r="A13" s="63"/>
      <c r="B13" s="38" t="str">
        <f>'2. Risk sheet'!A12</f>
        <v>R05</v>
      </c>
      <c r="C13" s="39" t="str">
        <f>'2. Risk sheet'!B12</f>
        <v>Delivery destination</v>
      </c>
      <c r="D13" s="40" t="str">
        <f>'2. Risk sheet'!C12</f>
        <v>Failure to record and interpret correctly delivery address provided by client leading to higher transportation expense or failure to complete services.</v>
      </c>
      <c r="E13" s="64">
        <f>'2. Risk sheet'!F12</f>
        <v>2</v>
      </c>
      <c r="F13" s="65"/>
      <c r="G13" s="65"/>
      <c r="H13" s="65"/>
      <c r="I13" s="65"/>
      <c r="J13" s="65"/>
      <c r="K13" s="65"/>
      <c r="L13" s="65"/>
      <c r="M13" s="65"/>
      <c r="N13" s="65"/>
      <c r="O13" s="65"/>
      <c r="P13" s="65"/>
      <c r="Q13" s="65"/>
    </row>
    <row r="14" spans="1:17" ht="30.75" customHeight="1">
      <c r="A14" s="63"/>
      <c r="B14" s="38" t="str">
        <f>'2. Risk sheet'!A13</f>
        <v>R06</v>
      </c>
      <c r="C14" s="39" t="str">
        <f>'2. Risk sheet'!B13</f>
        <v>Warehouse development</v>
      </c>
      <c r="D14" s="40" t="str">
        <f>'2. Risk sheet'!C13</f>
        <v>Failure to equip and develop warehouse to meet specific requirements for particular type of good.</v>
      </c>
      <c r="E14" s="64">
        <f>'2. Risk sheet'!F13</f>
        <v>2</v>
      </c>
      <c r="F14" s="65"/>
      <c r="G14" s="65"/>
      <c r="H14" s="65"/>
      <c r="I14" s="65"/>
      <c r="J14" s="65"/>
      <c r="K14" s="65"/>
      <c r="L14" s="65"/>
      <c r="M14" s="65"/>
      <c r="N14" s="65"/>
      <c r="O14" s="65"/>
      <c r="P14" s="65"/>
      <c r="Q14" s="65"/>
    </row>
    <row r="15" spans="1:17" ht="43.5" customHeight="1">
      <c r="A15" s="63"/>
      <c r="B15" s="38" t="str">
        <f>'2. Risk sheet'!A14</f>
        <v>R07</v>
      </c>
      <c r="C15" s="39" t="str">
        <f>'2. Risk sheet'!B14</f>
        <v>Physical control</v>
      </c>
      <c r="D15" s="40" t="str">
        <f>'2. Risk sheet'!C14</f>
        <v>Failure to perform and manage the physical order fulfillment process of picking, packing goods in a manner consistent with customer expectations.</v>
      </c>
      <c r="E15" s="64">
        <f>'2. Risk sheet'!F14</f>
        <v>2</v>
      </c>
      <c r="F15" s="65"/>
      <c r="G15" s="65"/>
      <c r="H15" s="65"/>
      <c r="I15" s="65"/>
      <c r="J15" s="65"/>
      <c r="K15" s="65"/>
      <c r="L15" s="65"/>
      <c r="M15" s="65"/>
      <c r="N15" s="65"/>
      <c r="O15" s="65"/>
      <c r="P15" s="65"/>
      <c r="Q15" s="65"/>
    </row>
    <row r="16" spans="1:17" ht="30.75" customHeight="1">
      <c r="A16" s="63"/>
      <c r="B16" s="38" t="str">
        <f>'2. Risk sheet'!A15</f>
        <v>R08</v>
      </c>
      <c r="C16" s="39" t="str">
        <f>'2. Risk sheet'!B15</f>
        <v>Insurance</v>
      </c>
      <c r="D16" s="40" t="str">
        <f>'2. Risk sheet'!C15</f>
        <v>Insurance coverage fails to protect the Company from significant financial losses due to incidents and claims.</v>
      </c>
      <c r="E16" s="64">
        <f>'2. Risk sheet'!F15</f>
        <v>2</v>
      </c>
      <c r="F16" s="65"/>
      <c r="G16" s="65"/>
      <c r="H16" s="65"/>
      <c r="I16" s="65"/>
      <c r="J16" s="65"/>
      <c r="K16" s="65"/>
      <c r="L16" s="65"/>
      <c r="M16" s="65"/>
      <c r="N16" s="65"/>
      <c r="O16" s="65"/>
      <c r="P16" s="65"/>
      <c r="Q16" s="65"/>
    </row>
    <row r="17" spans="1:17" ht="30.75" customHeight="1">
      <c r="A17" s="63"/>
      <c r="B17" s="38" t="str">
        <f>'2. Risk sheet'!A16</f>
        <v>R09</v>
      </c>
      <c r="C17" s="39" t="str">
        <f>'2. Risk sheet'!B16</f>
        <v>Transportation vehicle controls and maintenance</v>
      </c>
      <c r="D17" s="40" t="str">
        <f>'2. Risk sheet'!C16</f>
        <v>Failure to provide physical protection and stewardship over transportation vehicles (trucks, container, etc.)</v>
      </c>
      <c r="E17" s="64">
        <f>'2. Risk sheet'!F16</f>
        <v>2</v>
      </c>
      <c r="F17" s="65"/>
      <c r="G17" s="65"/>
      <c r="H17" s="65"/>
      <c r="I17" s="65"/>
      <c r="J17" s="65"/>
      <c r="K17" s="65"/>
      <c r="L17" s="65"/>
      <c r="M17" s="65"/>
      <c r="N17" s="65"/>
      <c r="O17" s="65"/>
      <c r="P17" s="65"/>
      <c r="Q17" s="65"/>
    </row>
    <row r="18" spans="1:17" ht="30.75" customHeight="1">
      <c r="A18" s="63"/>
      <c r="B18" s="38" t="str">
        <f>'2. Risk sheet'!A17</f>
        <v>R10</v>
      </c>
      <c r="C18" s="39" t="str">
        <f>'2. Risk sheet'!B17</f>
        <v>Goods management during transporting and storing process</v>
      </c>
      <c r="D18" s="40" t="str">
        <f>'2. Risk sheet'!C17</f>
        <v>Failure to maintain quality and quantity of special goods (frozen food, fragile products, living animals, etc.)</v>
      </c>
      <c r="E18" s="64">
        <f>'2. Risk sheet'!F17</f>
        <v>2</v>
      </c>
      <c r="F18" s="65"/>
      <c r="G18" s="65"/>
      <c r="H18" s="65"/>
      <c r="I18" s="65"/>
      <c r="J18" s="65"/>
      <c r="K18" s="65"/>
      <c r="L18" s="65"/>
      <c r="M18" s="65"/>
      <c r="N18" s="65"/>
      <c r="O18" s="65"/>
      <c r="P18" s="65"/>
      <c r="Q18" s="65"/>
    </row>
    <row r="19" spans="1:17" ht="57" customHeight="1">
      <c r="A19" s="63"/>
      <c r="B19" s="38" t="str">
        <f>'2. Risk sheet'!A18</f>
        <v>R11</v>
      </c>
      <c r="C19" s="39" t="str">
        <f>'2. Risk sheet'!B18</f>
        <v>Crisis Communication</v>
      </c>
      <c r="D19" s="40" t="str">
        <f>'2. Risk sheet'!C18</f>
        <v>Failure to communicate the right message in an effective manner to recover and maintain business operations in the event of a crisis or disruption due to physical or natural circumstances.</v>
      </c>
      <c r="E19" s="64">
        <f>'2. Risk sheet'!F18</f>
        <v>2</v>
      </c>
      <c r="F19" s="65"/>
      <c r="G19" s="65"/>
      <c r="H19" s="65"/>
      <c r="I19" s="65"/>
      <c r="J19" s="65"/>
      <c r="K19" s="65"/>
      <c r="L19" s="65"/>
      <c r="M19" s="65"/>
      <c r="N19" s="65"/>
      <c r="O19" s="65"/>
      <c r="P19" s="65"/>
      <c r="Q19" s="65"/>
    </row>
    <row r="20" spans="1:17" ht="43.5" customHeight="1">
      <c r="A20" s="63"/>
      <c r="B20" s="38" t="str">
        <f>'2. Risk sheet'!A19</f>
        <v>R12</v>
      </c>
      <c r="C20" s="39" t="str">
        <f>'2. Risk sheet'!B19</f>
        <v>Marketing</v>
      </c>
      <c r="D20" s="40" t="str">
        <f>'2. Risk sheet'!C19</f>
        <v>The inability to articulate a message that communicates a consistent and compelling incentive for potential consumers and provides a return on investment to shareholders.</v>
      </c>
      <c r="E20" s="64">
        <f>'2. Risk sheet'!F19</f>
        <v>2</v>
      </c>
      <c r="F20" s="65"/>
      <c r="G20" s="65"/>
      <c r="H20" s="65"/>
      <c r="I20" s="65"/>
      <c r="J20" s="65"/>
      <c r="K20" s="65"/>
      <c r="L20" s="65"/>
      <c r="M20" s="65"/>
      <c r="N20" s="65"/>
      <c r="O20" s="65"/>
      <c r="P20" s="65"/>
      <c r="Q20" s="65"/>
    </row>
    <row r="21" spans="1:17" ht="43.5" customHeight="1">
      <c r="A21" s="63"/>
      <c r="B21" s="38" t="str">
        <f>'2. Risk sheet'!A20</f>
        <v>R13</v>
      </c>
      <c r="C21" s="39" t="str">
        <f>'2. Risk sheet'!B20</f>
        <v>Sales and Pricing</v>
      </c>
      <c r="D21" s="40" t="str">
        <f>'2. Risk sheet'!C20</f>
        <v>Inability to price and provide services to key target markets in order to achieve the Company's strategic and financial goals.</v>
      </c>
      <c r="E21" s="64">
        <f>'2. Risk sheet'!F20</f>
        <v>2</v>
      </c>
      <c r="F21" s="65"/>
      <c r="G21" s="65"/>
      <c r="H21" s="65"/>
      <c r="I21" s="65"/>
      <c r="J21" s="65"/>
      <c r="K21" s="65"/>
      <c r="L21" s="65"/>
      <c r="M21" s="65"/>
      <c r="N21" s="65"/>
      <c r="O21" s="65"/>
      <c r="P21" s="65"/>
      <c r="Q21" s="65"/>
    </row>
    <row r="22" spans="1:17" ht="57" customHeight="1">
      <c r="A22" s="63"/>
      <c r="B22" s="38" t="str">
        <f>'2. Risk sheet'!A21</f>
        <v>R14</v>
      </c>
      <c r="C22" s="39" t="str">
        <f>'2. Risk sheet'!B21</f>
        <v>Customer Support / Management</v>
      </c>
      <c r="D22" s="40" t="str">
        <f>'2. Risk sheet'!C21</f>
        <v>Failure to provide customer service to enable long-term customer loyalty. Includes ineffective response to customer needs, questions and concerns about the Company's products and/or services.</v>
      </c>
      <c r="E22" s="64">
        <f>'2. Risk sheet'!F21</f>
        <v>2</v>
      </c>
      <c r="F22" s="65"/>
      <c r="G22" s="65"/>
      <c r="H22" s="65"/>
      <c r="I22" s="65"/>
      <c r="J22" s="65"/>
      <c r="K22" s="65"/>
      <c r="L22" s="65"/>
      <c r="M22" s="65"/>
      <c r="N22" s="65"/>
      <c r="O22" s="65"/>
      <c r="P22" s="65"/>
      <c r="Q22" s="65"/>
    </row>
    <row r="23" spans="1:17" ht="43.5" customHeight="1">
      <c r="A23" s="63"/>
      <c r="B23" s="38" t="str">
        <f>'2. Risk sheet'!A22</f>
        <v>R15</v>
      </c>
      <c r="C23" s="39" t="str">
        <f>'2. Risk sheet'!B22</f>
        <v>Fraud</v>
      </c>
      <c r="D23" s="40" t="str">
        <f>'2. Risk sheet'!C22</f>
        <v>Potential illegal acts committed by Company employees to sneak illegal goods cross border that negatively impact the Company's reputation.</v>
      </c>
      <c r="E23" s="64">
        <f>'2. Risk sheet'!F22</f>
        <v>2</v>
      </c>
      <c r="F23" s="65"/>
      <c r="G23" s="65"/>
      <c r="H23" s="65"/>
      <c r="I23" s="65"/>
      <c r="J23" s="65"/>
      <c r="K23" s="65"/>
      <c r="L23" s="65"/>
      <c r="M23" s="65"/>
      <c r="N23" s="65"/>
      <c r="O23" s="65"/>
      <c r="P23" s="65"/>
      <c r="Q23" s="65"/>
    </row>
    <row r="24" spans="1:17" ht="43.5" customHeight="1">
      <c r="A24" s="63"/>
      <c r="B24" s="38" t="str">
        <f>'2. Risk sheet'!A23</f>
        <v>R16</v>
      </c>
      <c r="C24" s="39" t="str">
        <f>'2. Risk sheet'!B23</f>
        <v>Contract</v>
      </c>
      <c r="D24" s="40" t="str">
        <f>'2. Risk sheet'!C23</f>
        <v>Entering into contracts that are unfavorable to the Company; and the failure to comply with and monitor contract terms to protect the Company from financial losses.</v>
      </c>
      <c r="E24" s="64">
        <f>'2. Risk sheet'!F23</f>
        <v>2</v>
      </c>
      <c r="F24" s="65"/>
      <c r="G24" s="65"/>
      <c r="H24" s="65"/>
      <c r="I24" s="65"/>
      <c r="J24" s="65"/>
      <c r="K24" s="65"/>
      <c r="L24" s="65"/>
      <c r="M24" s="65"/>
      <c r="N24" s="65"/>
      <c r="O24" s="65"/>
      <c r="P24" s="65"/>
      <c r="Q24" s="65"/>
    </row>
    <row r="25" spans="1:17" ht="43.5" customHeight="1">
      <c r="A25" s="63"/>
      <c r="B25" s="38" t="str">
        <f>'2. Risk sheet'!A24</f>
        <v>R17</v>
      </c>
      <c r="C25" s="39" t="str">
        <f>'2. Risk sheet'!B24</f>
        <v>Anti - Corruption</v>
      </c>
      <c r="D25" s="40" t="str">
        <f>'2. Risk sheet'!C24</f>
        <v>Failure to create a Corporate environment which is opposed to corruption and instill business practices which prevent corruption.</v>
      </c>
      <c r="E25" s="64">
        <f>'2. Risk sheet'!F24</f>
        <v>2</v>
      </c>
      <c r="F25" s="65"/>
      <c r="G25" s="65"/>
      <c r="H25" s="65"/>
      <c r="I25" s="65"/>
      <c r="J25" s="65"/>
      <c r="K25" s="65"/>
      <c r="L25" s="65"/>
      <c r="M25" s="65"/>
      <c r="N25" s="65"/>
      <c r="O25" s="65"/>
      <c r="P25" s="65"/>
      <c r="Q25" s="65"/>
    </row>
    <row r="26" spans="1:17" ht="30.75" customHeight="1">
      <c r="A26" s="63"/>
      <c r="B26" s="38" t="str">
        <f>'2. Risk sheet'!A25</f>
        <v>R18</v>
      </c>
      <c r="C26" s="39" t="str">
        <f>'2. Risk sheet'!B25</f>
        <v>Country specific legal alignment</v>
      </c>
      <c r="D26" s="40" t="str">
        <f>'2. Risk sheet'!C25</f>
        <v>Failure to cope with unknown and complex foreign rules and regulations.</v>
      </c>
      <c r="E26" s="64">
        <f>'2. Risk sheet'!F25</f>
        <v>2</v>
      </c>
      <c r="F26" s="65"/>
      <c r="G26" s="65"/>
      <c r="H26" s="65"/>
      <c r="I26" s="65"/>
      <c r="J26" s="65"/>
      <c r="K26" s="65"/>
      <c r="L26" s="65"/>
      <c r="M26" s="65"/>
      <c r="N26" s="65"/>
      <c r="O26" s="65"/>
      <c r="P26" s="65"/>
      <c r="Q26" s="65"/>
    </row>
    <row r="27" spans="1:17" ht="57" customHeight="1">
      <c r="A27" s="63"/>
      <c r="B27" s="38" t="str">
        <f>'2. Risk sheet'!A26</f>
        <v>R19</v>
      </c>
      <c r="C27" s="39" t="str">
        <f>'2. Risk sheet'!B26</f>
        <v>Environment</v>
      </c>
      <c r="D27" s="40" t="str">
        <f>'2. Risk sheet'!C26</f>
        <v>Failure to identify and prevent legal risks posed by, and prevent non-compliance with, Local and International Environmental regulations e.g., non-compliance with ISO 14001 standards.</v>
      </c>
      <c r="E27" s="64">
        <f>'2. Risk sheet'!F26</f>
        <v>2</v>
      </c>
      <c r="F27" s="65"/>
      <c r="G27" s="65"/>
      <c r="H27" s="65"/>
      <c r="I27" s="65"/>
      <c r="J27" s="65"/>
      <c r="K27" s="65"/>
      <c r="L27" s="65"/>
      <c r="M27" s="65"/>
      <c r="N27" s="65"/>
      <c r="O27" s="65"/>
      <c r="P27" s="65"/>
      <c r="Q27" s="65"/>
    </row>
    <row r="28" spans="1:17" ht="43.5" customHeight="1">
      <c r="A28" s="63"/>
      <c r="B28" s="38" t="str">
        <f>'2. Risk sheet'!A27</f>
        <v>R20</v>
      </c>
      <c r="C28" s="39" t="str">
        <f>'2. Risk sheet'!B27</f>
        <v>Health and Safety</v>
      </c>
      <c r="D28" s="40" t="str">
        <f>'2. Risk sheet'!C27</f>
        <v>Failure to identify and prevent legal risks posed by, and prevent non-compliance with, Local and International rules and regulations for health and safety.</v>
      </c>
      <c r="E28" s="64">
        <f>'2. Risk sheet'!F27</f>
        <v>2</v>
      </c>
      <c r="F28" s="65"/>
      <c r="G28" s="65"/>
      <c r="H28" s="65"/>
      <c r="I28" s="65"/>
      <c r="J28" s="65"/>
      <c r="K28" s="65"/>
      <c r="L28" s="65"/>
      <c r="M28" s="65"/>
      <c r="N28" s="65"/>
      <c r="O28" s="65"/>
      <c r="P28" s="65"/>
      <c r="Q28" s="65"/>
    </row>
    <row r="29" spans="1:17" ht="96" customHeight="1">
      <c r="A29" s="63"/>
      <c r="B29" s="38" t="str">
        <f>'2. Risk sheet'!A28</f>
        <v>R21</v>
      </c>
      <c r="C29" s="39" t="str">
        <f>'2. Risk sheet'!B28</f>
        <v>Forecasting and budgeting</v>
      </c>
      <c r="D29" s="40" t="str">
        <f>'2. Risk sheet'!C28</f>
        <v>Failure to forecast financial information to enable the allocation of resources to new and existing initiatives and communicate earnings expectations to the market. The risk that the company does not appropriately or sufficiently allocate capital to the areas required to fuel its growth, execute its strategies or generate future financial returns.</v>
      </c>
      <c r="E29" s="64">
        <f>'2. Risk sheet'!F28</f>
        <v>2</v>
      </c>
      <c r="F29" s="65"/>
      <c r="G29" s="65"/>
      <c r="H29" s="65"/>
      <c r="I29" s="65"/>
      <c r="J29" s="65"/>
      <c r="K29" s="65"/>
      <c r="L29" s="65"/>
      <c r="M29" s="65"/>
      <c r="N29" s="65"/>
      <c r="O29" s="65"/>
      <c r="P29" s="65"/>
      <c r="Q29" s="65"/>
    </row>
    <row r="30" spans="1:17" ht="43.5" customHeight="1">
      <c r="A30" s="63"/>
      <c r="B30" s="38" t="str">
        <f>'2. Risk sheet'!A29</f>
        <v>R22</v>
      </c>
      <c r="C30" s="39" t="str">
        <f>'2. Risk sheet'!B29</f>
        <v>Difference Accounting Standards and Reporting Regulations</v>
      </c>
      <c r="D30" s="40" t="str">
        <f>'2. Risk sheet'!C29</f>
        <v>Inability to apply and follow different accounting standards and reporting regulation to the relevant territories government requirements.</v>
      </c>
      <c r="E30" s="64">
        <f>'2. Risk sheet'!F29</f>
        <v>2</v>
      </c>
      <c r="F30" s="65"/>
      <c r="G30" s="65"/>
      <c r="H30" s="65"/>
      <c r="I30" s="65"/>
      <c r="J30" s="65"/>
      <c r="K30" s="65"/>
      <c r="L30" s="65"/>
      <c r="M30" s="65"/>
      <c r="N30" s="65"/>
      <c r="O30" s="65"/>
      <c r="P30" s="65"/>
      <c r="Q30" s="65"/>
    </row>
    <row r="31" spans="1:17" ht="30.75" customHeight="1">
      <c r="A31" s="63"/>
      <c r="B31" s="38" t="str">
        <f>'2. Risk sheet'!A30</f>
        <v>R23</v>
      </c>
      <c r="C31" s="39" t="str">
        <f>'2. Risk sheet'!B30</f>
        <v>Interest Rate</v>
      </c>
      <c r="D31" s="40" t="str">
        <f>'2. Risk sheet'!C30</f>
        <v>Unfavorable price paid per unit of funds borrowed or the rate of return received on invested assets</v>
      </c>
      <c r="E31" s="64">
        <f>'2. Risk sheet'!F30</f>
        <v>2</v>
      </c>
      <c r="F31" s="65"/>
      <c r="G31" s="65"/>
      <c r="H31" s="65"/>
      <c r="I31" s="65"/>
      <c r="J31" s="65"/>
      <c r="K31" s="65"/>
      <c r="L31" s="65"/>
      <c r="M31" s="65"/>
      <c r="N31" s="65"/>
      <c r="O31" s="65"/>
      <c r="P31" s="65"/>
      <c r="Q31" s="65"/>
    </row>
    <row r="32" spans="1:17" ht="30.75" customHeight="1">
      <c r="A32" s="63"/>
      <c r="B32" s="38" t="str">
        <f>'2. Risk sheet'!A31</f>
        <v>R24</v>
      </c>
      <c r="C32" s="39" t="str">
        <f>'2. Risk sheet'!B31</f>
        <v>Foreign Currency</v>
      </c>
      <c r="D32" s="40" t="str">
        <f>'2. Risk sheet'!C31</f>
        <v>Unfavorable fluctuations in the currency of another market that is needed to carry out international transactions.</v>
      </c>
      <c r="E32" s="64">
        <f>'2. Risk sheet'!F31</f>
        <v>2</v>
      </c>
      <c r="F32" s="65"/>
      <c r="G32" s="65"/>
      <c r="H32" s="65"/>
      <c r="I32" s="65"/>
      <c r="J32" s="65"/>
      <c r="K32" s="65"/>
      <c r="L32" s="65"/>
      <c r="M32" s="65"/>
      <c r="N32" s="65"/>
      <c r="O32" s="65"/>
      <c r="P32" s="65"/>
      <c r="Q32" s="65"/>
    </row>
    <row r="33" spans="1:17" ht="30.75" customHeight="1">
      <c r="A33" s="63"/>
      <c r="B33" s="38" t="str">
        <f>'2. Risk sheet'!A32</f>
        <v>R25</v>
      </c>
      <c r="C33" s="39" t="str">
        <f>'2. Risk sheet'!B32</f>
        <v>Commodity</v>
      </c>
      <c r="D33" s="40" t="str">
        <f>'2. Risk sheet'!C32</f>
        <v>Unfavorable fluctuations in the price of fuel and warehouse rental fee are not anticipated and managed.</v>
      </c>
      <c r="E33" s="64">
        <f>'2. Risk sheet'!F32</f>
        <v>2</v>
      </c>
      <c r="F33" s="65"/>
      <c r="G33" s="65"/>
      <c r="H33" s="65"/>
      <c r="I33" s="65"/>
      <c r="J33" s="65"/>
      <c r="K33" s="65"/>
      <c r="L33" s="65"/>
      <c r="M33" s="65"/>
      <c r="N33" s="65"/>
      <c r="O33" s="65"/>
      <c r="P33" s="65"/>
      <c r="Q33" s="65"/>
    </row>
    <row r="34" spans="1:17" ht="30.75" customHeight="1">
      <c r="A34" s="63"/>
      <c r="B34" s="38" t="str">
        <f>'2. Risk sheet'!A33</f>
        <v>R26</v>
      </c>
      <c r="C34" s="39" t="str">
        <f>'2. Risk sheet'!B33</f>
        <v>Cash Management</v>
      </c>
      <c r="D34" s="40" t="str">
        <f>'2. Risk sheet'!C33</f>
        <v>Failure to administer, monitor and manage cash related activities to maximize its value.</v>
      </c>
      <c r="E34" s="64">
        <f>'2. Risk sheet'!F33</f>
        <v>2</v>
      </c>
      <c r="F34" s="65"/>
      <c r="G34" s="65"/>
      <c r="H34" s="65"/>
      <c r="I34" s="65"/>
      <c r="J34" s="65"/>
      <c r="K34" s="65"/>
      <c r="L34" s="65"/>
      <c r="M34" s="65"/>
      <c r="N34" s="65"/>
      <c r="O34" s="65"/>
      <c r="P34" s="65"/>
      <c r="Q34" s="65"/>
    </row>
    <row r="35" spans="1:17" ht="30.75" customHeight="1">
      <c r="A35" s="63"/>
      <c r="B35" s="38" t="str">
        <f>'2. Risk sheet'!A34</f>
        <v>R27</v>
      </c>
      <c r="C35" s="39" t="str">
        <f>'2. Risk sheet'!B34</f>
        <v>Credit and Collections</v>
      </c>
      <c r="D35" s="40" t="str">
        <f>'2. Risk sheet'!C34</f>
        <v>Inability to obtain the optimal level of payment received as a result of a prior business transaction.</v>
      </c>
      <c r="E35" s="64">
        <f>'2. Risk sheet'!F34</f>
        <v>2</v>
      </c>
      <c r="F35" s="65"/>
      <c r="G35" s="65"/>
      <c r="H35" s="65"/>
      <c r="I35" s="65"/>
      <c r="J35" s="65"/>
      <c r="K35" s="65"/>
      <c r="L35" s="65"/>
      <c r="M35" s="65"/>
      <c r="N35" s="65"/>
      <c r="O35" s="65"/>
      <c r="P35" s="65"/>
      <c r="Q35" s="65"/>
    </row>
    <row r="36" spans="1:17" ht="57" customHeight="1">
      <c r="A36" s="63"/>
      <c r="B36" s="38" t="str">
        <f>'2. Risk sheet'!A35</f>
        <v>R28</v>
      </c>
      <c r="C36" s="39" t="str">
        <f>'2. Risk sheet'!B35</f>
        <v>Accounting, Reporting and Disclosure</v>
      </c>
      <c r="D36" s="40" t="str">
        <f>'2. Risk sheet'!C35</f>
        <v>Inaccurate recording and reporting of all financial transactions in the proper accounting period in accordance with existing standards. Inaccurate financial reports can lead to bad business decisions by the management.</v>
      </c>
      <c r="E36" s="64">
        <f>'2. Risk sheet'!F35</f>
        <v>2</v>
      </c>
      <c r="F36" s="65"/>
      <c r="G36" s="65"/>
      <c r="H36" s="65"/>
      <c r="I36" s="65"/>
      <c r="J36" s="65"/>
      <c r="K36" s="65"/>
      <c r="L36" s="65"/>
      <c r="M36" s="65"/>
      <c r="N36" s="65"/>
      <c r="O36" s="65"/>
      <c r="P36" s="65"/>
      <c r="Q36" s="65"/>
    </row>
    <row r="37" spans="1:17" ht="30.75" customHeight="1">
      <c r="A37" s="63"/>
      <c r="B37" s="38" t="str">
        <f>'2. Risk sheet'!A36</f>
        <v>R29</v>
      </c>
      <c r="C37" s="39" t="str">
        <f>'2. Risk sheet'!B36</f>
        <v>Measurement and Monitoring</v>
      </c>
      <c r="D37" s="40" t="str">
        <f>'2. Risk sheet'!C36</f>
        <v>Failure to periodically assess performance, quality and adherence to the standards as set forth by the  Company.</v>
      </c>
      <c r="E37" s="64">
        <f>'2. Risk sheet'!F36</f>
        <v>2</v>
      </c>
      <c r="F37" s="65"/>
      <c r="G37" s="65"/>
      <c r="H37" s="65"/>
      <c r="I37" s="65"/>
      <c r="J37" s="65"/>
      <c r="K37" s="65"/>
      <c r="L37" s="65"/>
      <c r="M37" s="65"/>
      <c r="N37" s="65"/>
      <c r="O37" s="65"/>
      <c r="P37" s="65"/>
      <c r="Q37" s="65"/>
    </row>
    <row r="38" spans="1:17" ht="43.5" customHeight="1">
      <c r="A38" s="63"/>
      <c r="B38" s="38" t="str">
        <f>'2. Risk sheet'!A37</f>
        <v>R30</v>
      </c>
      <c r="C38" s="39" t="str">
        <f>'2. Risk sheet'!B37</f>
        <v>Development and Performance</v>
      </c>
      <c r="D38" s="40" t="str">
        <f>'2. Risk sheet'!C37</f>
        <v>Inability to develop and enhance employee skills and provide performance management that ensures optimal achievement of organizational strategies, goals and objectives.</v>
      </c>
      <c r="E38" s="64">
        <f>'2. Risk sheet'!F37</f>
        <v>2</v>
      </c>
      <c r="F38" s="65"/>
      <c r="G38" s="65"/>
      <c r="H38" s="65"/>
      <c r="I38" s="65"/>
      <c r="J38" s="65"/>
      <c r="K38" s="65"/>
      <c r="L38" s="65"/>
      <c r="M38" s="65"/>
      <c r="N38" s="65"/>
      <c r="O38" s="65"/>
      <c r="P38" s="65"/>
      <c r="Q38" s="65"/>
    </row>
    <row r="39" spans="1:17" ht="43.5" customHeight="1">
      <c r="A39" s="63"/>
      <c r="B39" s="38" t="str">
        <f>'2. Risk sheet'!A38</f>
        <v>R31</v>
      </c>
      <c r="C39" s="39" t="str">
        <f>'2. Risk sheet'!B38</f>
        <v>Recruiting and Retention</v>
      </c>
      <c r="D39" s="40" t="str">
        <f>'2. Risk sheet'!C38</f>
        <v>Failure to recruit and retain qualified employees to ensure optimal staffing levels in a balanced workforce environment.</v>
      </c>
      <c r="E39" s="64">
        <f>'2. Risk sheet'!F38</f>
        <v>2</v>
      </c>
      <c r="F39" s="65"/>
      <c r="G39" s="65"/>
      <c r="H39" s="65"/>
      <c r="I39" s="65"/>
      <c r="J39" s="65"/>
      <c r="K39" s="65"/>
      <c r="L39" s="65"/>
      <c r="M39" s="65"/>
      <c r="N39" s="65"/>
      <c r="O39" s="65"/>
      <c r="P39" s="65"/>
      <c r="Q39" s="65"/>
    </row>
    <row r="40" spans="1:17" ht="30.75" customHeight="1">
      <c r="A40" s="63"/>
      <c r="B40" s="38" t="str">
        <f>'2. Risk sheet'!A39</f>
        <v>R32</v>
      </c>
      <c r="C40" s="39" t="str">
        <f>'2. Risk sheet'!B39</f>
        <v>Technology Implementation</v>
      </c>
      <c r="D40" s="40" t="str">
        <f>'2. Risk sheet'!C39</f>
        <v>Failure of a major technology implementation to meet the strategic objectives of the organization.</v>
      </c>
      <c r="E40" s="64">
        <f>'2. Risk sheet'!F39</f>
        <v>2</v>
      </c>
      <c r="F40" s="65"/>
      <c r="G40" s="65"/>
      <c r="H40" s="65"/>
      <c r="I40" s="65"/>
      <c r="J40" s="65"/>
      <c r="K40" s="65"/>
      <c r="L40" s="65"/>
      <c r="M40" s="65"/>
      <c r="N40" s="65"/>
      <c r="O40" s="65"/>
      <c r="P40" s="65"/>
      <c r="Q40" s="65"/>
    </row>
    <row r="41" spans="1:17" ht="43.5" customHeight="1">
      <c r="A41" s="63"/>
      <c r="B41" s="38" t="str">
        <f>'2. Risk sheet'!A40</f>
        <v>R33</v>
      </c>
      <c r="C41" s="39" t="str">
        <f>'2. Risk sheet'!B40</f>
        <v>Information Protection</v>
      </c>
      <c r="D41" s="40" t="str">
        <f>'2. Risk sheet'!C40</f>
        <v>Failure of Information systems to adequately protect the critical data and infrastructure from theft, corruption, unauthorized usage, viruses, or sabotage.</v>
      </c>
      <c r="E41" s="64">
        <f>'2. Risk sheet'!F40</f>
        <v>2</v>
      </c>
      <c r="F41" s="65"/>
      <c r="G41" s="65"/>
      <c r="H41" s="65"/>
      <c r="I41" s="65"/>
      <c r="J41" s="65"/>
      <c r="K41" s="65"/>
      <c r="L41" s="65"/>
      <c r="M41" s="65"/>
      <c r="N41" s="65"/>
      <c r="O41" s="65"/>
      <c r="P41" s="65"/>
      <c r="Q41" s="65"/>
    </row>
    <row r="42" spans="1:17" ht="43.5" customHeight="1">
      <c r="A42" s="63"/>
      <c r="B42" s="38" t="str">
        <f>'2. Risk sheet'!A41</f>
        <v>R34</v>
      </c>
      <c r="C42" s="39" t="str">
        <f>'2. Risk sheet'!B41</f>
        <v>IT Availability / Continuity</v>
      </c>
      <c r="D42" s="40" t="str">
        <f>'2. Risk sheet'!C41</f>
        <v>The inability to recover from, and continue uninterrupted operations in the event of extraordinary events, systems and implementation failures.</v>
      </c>
      <c r="E42" s="64">
        <f>'2. Risk sheet'!F41</f>
        <v>2</v>
      </c>
      <c r="F42" s="65"/>
      <c r="G42" s="65"/>
      <c r="H42" s="65"/>
      <c r="I42" s="65"/>
      <c r="J42" s="65"/>
      <c r="K42" s="65"/>
      <c r="L42" s="65"/>
      <c r="M42" s="65"/>
      <c r="N42" s="65"/>
      <c r="O42" s="65"/>
      <c r="P42" s="65"/>
      <c r="Q42" s="65"/>
    </row>
    <row r="43" spans="1:17" ht="30.75" customHeight="1">
      <c r="A43" s="63"/>
      <c r="B43" s="38" t="str">
        <f>'2. Risk sheet'!A42</f>
        <v>R35</v>
      </c>
      <c r="C43" s="39" t="str">
        <f>'2. Risk sheet'!B42</f>
        <v>Natural Events</v>
      </c>
      <c r="D43" s="40" t="str">
        <f>'2. Risk sheet'!C42</f>
        <v>Threat of business disruption due to natural events (e.g., fire, flood, tornado…)</v>
      </c>
      <c r="E43" s="64">
        <f>'2. Risk sheet'!F42</f>
        <v>2</v>
      </c>
      <c r="F43" s="65"/>
      <c r="G43" s="65"/>
      <c r="H43" s="65"/>
      <c r="I43" s="65"/>
      <c r="J43" s="65"/>
      <c r="K43" s="65"/>
      <c r="L43" s="65"/>
      <c r="M43" s="65"/>
      <c r="N43" s="65"/>
      <c r="O43" s="65"/>
      <c r="P43" s="65"/>
      <c r="Q43" s="65"/>
    </row>
    <row r="44" spans="1:17" ht="30.75" customHeight="1">
      <c r="A44" s="63"/>
      <c r="B44" s="38" t="str">
        <f>'2. Risk sheet'!A43</f>
        <v>R36</v>
      </c>
      <c r="C44" s="39" t="str">
        <f>'2. Risk sheet'!B43</f>
        <v>Chemical disaster</v>
      </c>
      <c r="D44" s="40" t="str">
        <f>'2. Risk sheet'!C43</f>
        <v>Risk of disaster as fire, contamination, infestation (rodents, insects).</v>
      </c>
      <c r="E44" s="64">
        <f>'2. Risk sheet'!F43</f>
        <v>2</v>
      </c>
      <c r="F44" s="65"/>
      <c r="G44" s="65"/>
      <c r="H44" s="65"/>
      <c r="I44" s="65"/>
      <c r="J44" s="65"/>
      <c r="K44" s="65"/>
      <c r="L44" s="65"/>
      <c r="M44" s="65"/>
      <c r="N44" s="65"/>
      <c r="O44" s="65"/>
      <c r="P44" s="65"/>
      <c r="Q44" s="65"/>
    </row>
    <row r="45" spans="1:17" ht="19.5" customHeight="1">
      <c r="A45" s="4" t="s">
        <v>188</v>
      </c>
      <c r="B45" s="4"/>
      <c r="C45" s="4"/>
      <c r="D45" s="4"/>
      <c r="E45" s="66"/>
      <c r="F45" s="67">
        <f t="shared" ref="F45:Q45" si="0">SUM(F9:F44)</f>
        <v>0</v>
      </c>
      <c r="G45" s="67">
        <f t="shared" si="0"/>
        <v>0</v>
      </c>
      <c r="H45" s="67">
        <f t="shared" si="0"/>
        <v>0</v>
      </c>
      <c r="I45" s="67">
        <f t="shared" si="0"/>
        <v>0</v>
      </c>
      <c r="J45" s="67">
        <f t="shared" si="0"/>
        <v>0</v>
      </c>
      <c r="K45" s="67">
        <f t="shared" si="0"/>
        <v>0</v>
      </c>
      <c r="L45" s="67">
        <f t="shared" si="0"/>
        <v>0</v>
      </c>
      <c r="M45" s="67">
        <f t="shared" si="0"/>
        <v>0</v>
      </c>
      <c r="N45" s="67">
        <f t="shared" si="0"/>
        <v>0</v>
      </c>
      <c r="O45" s="67">
        <f t="shared" si="0"/>
        <v>0</v>
      </c>
      <c r="P45" s="67">
        <f t="shared" si="0"/>
        <v>0</v>
      </c>
      <c r="Q45" s="67">
        <f t="shared" si="0"/>
        <v>0</v>
      </c>
    </row>
  </sheetData>
  <autoFilter ref="A6:I50" xr:uid="{00000000-0009-0000-0000-000003000000}"/>
  <mergeCells count="2">
    <mergeCell ref="A7:D7"/>
    <mergeCell ref="A45:D45"/>
  </mergeCells>
  <conditionalFormatting sqref="E9:E44">
    <cfRule type="cellIs" dxfId="3" priority="2" operator="equal">
      <formula>4</formula>
    </cfRule>
    <cfRule type="cellIs" dxfId="2" priority="3" operator="equal">
      <formula>3</formula>
    </cfRule>
    <cfRule type="cellIs" dxfId="1" priority="4" operator="equal">
      <formula>2</formula>
    </cfRule>
    <cfRule type="cellIs" dxfId="0" priority="5" operator="equal">
      <formula>1</formula>
    </cfRule>
  </conditionalFormatting>
  <pageMargins left="0.4" right="0.4" top="0.5" bottom="0.5" header="0.511811023622047" footer="0.51180555555555596"/>
  <pageSetup paperSize="9" fitToHeight="0" orientation="landscape" horizontalDpi="300" verticalDpi="300"/>
  <headerFooter>
    <oddFooter>&amp;C&amp;8 &amp;A  –  Page &amp;P /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19"/>
  <sheetViews>
    <sheetView showGridLines="0" zoomScaleNormal="100" workbookViewId="0">
      <pane xSplit="1" ySplit="7" topLeftCell="B8" activePane="bottomRight" state="frozen"/>
      <selection pane="topRight" activeCell="B1" sqref="B1"/>
      <selection pane="bottomLeft" activeCell="A8" sqref="A8"/>
      <selection pane="bottomRight" activeCell="B8" sqref="B8"/>
    </sheetView>
  </sheetViews>
  <sheetFormatPr defaultColWidth="8.6640625" defaultRowHeight="13.2"/>
  <cols>
    <col min="1" max="1" width="26" customWidth="1"/>
    <col min="2" max="2" width="16" customWidth="1"/>
    <col min="3" max="6" width="12" customWidth="1"/>
  </cols>
  <sheetData>
    <row r="1" spans="1:8" ht="21.75" customHeight="1">
      <c r="A1" s="23" t="str">
        <f>'0. Introduction'!A1</f>
        <v>Company Name</v>
      </c>
      <c r="B1" s="15"/>
      <c r="C1" s="15"/>
      <c r="D1" s="15"/>
      <c r="E1" s="15"/>
      <c r="F1" s="15"/>
      <c r="G1" s="15"/>
      <c r="H1" s="15"/>
    </row>
    <row r="2" spans="1:8" ht="19.5" customHeight="1">
      <c r="A2" s="16" t="s">
        <v>1</v>
      </c>
      <c r="B2" s="15"/>
      <c r="C2" s="15"/>
      <c r="D2" s="15"/>
      <c r="E2" s="15"/>
      <c r="F2" s="15"/>
      <c r="G2" s="15"/>
      <c r="H2" s="15"/>
    </row>
    <row r="3" spans="1:8" ht="19.5" customHeight="1">
      <c r="A3" s="17" t="str">
        <f>'0. Introduction'!A3</f>
        <v>Year:</v>
      </c>
      <c r="B3" s="15"/>
      <c r="C3" s="15"/>
      <c r="D3" s="68"/>
      <c r="E3" s="15"/>
      <c r="F3" s="15"/>
      <c r="G3" s="15"/>
      <c r="H3" s="15"/>
    </row>
    <row r="4" spans="1:8" ht="18" customHeight="1">
      <c r="A4" s="69"/>
      <c r="B4" s="15"/>
      <c r="C4" s="15"/>
      <c r="D4" s="68"/>
      <c r="E4" s="15"/>
      <c r="F4" s="15"/>
      <c r="G4" s="15"/>
      <c r="H4" s="15"/>
    </row>
    <row r="5" spans="1:8" ht="19.5" customHeight="1">
      <c r="A5" s="70" t="s">
        <v>189</v>
      </c>
      <c r="B5" s="15"/>
      <c r="C5" s="15"/>
      <c r="D5" s="68"/>
      <c r="E5" s="15"/>
      <c r="F5" s="15"/>
      <c r="G5" s="15"/>
      <c r="H5" s="15"/>
    </row>
    <row r="6" spans="1:8" ht="21.75" customHeight="1">
      <c r="A6" s="25" t="s">
        <v>181</v>
      </c>
      <c r="B6" s="25" t="s">
        <v>190</v>
      </c>
      <c r="C6" s="25" t="s">
        <v>191</v>
      </c>
      <c r="D6" s="25" t="s">
        <v>192</v>
      </c>
      <c r="E6" s="25" t="s">
        <v>193</v>
      </c>
      <c r="F6" s="25" t="s">
        <v>19</v>
      </c>
    </row>
    <row r="7" spans="1:8" ht="3.75" customHeight="1">
      <c r="A7" s="15"/>
      <c r="B7" s="15"/>
      <c r="C7" s="15"/>
      <c r="D7" s="34"/>
      <c r="E7" s="15"/>
      <c r="F7" s="15"/>
    </row>
    <row r="8" spans="1:8" ht="18" customHeight="1">
      <c r="A8" s="71" t="s">
        <v>182</v>
      </c>
      <c r="B8" s="72">
        <f>'3. Risk mapping'!F$45</f>
        <v>0</v>
      </c>
      <c r="C8" s="73"/>
      <c r="D8" s="73" t="s">
        <v>194</v>
      </c>
      <c r="E8" s="73"/>
      <c r="F8" s="73" t="s">
        <v>194</v>
      </c>
    </row>
    <row r="9" spans="1:8" ht="18" customHeight="1">
      <c r="A9" s="71" t="s">
        <v>183</v>
      </c>
      <c r="B9" s="72">
        <f>'3. Risk mapping'!G$45</f>
        <v>0</v>
      </c>
      <c r="C9" s="73"/>
      <c r="D9" s="73" t="s">
        <v>194</v>
      </c>
      <c r="E9" s="73"/>
      <c r="F9" s="73" t="s">
        <v>194</v>
      </c>
    </row>
    <row r="10" spans="1:8" ht="18" customHeight="1">
      <c r="A10" s="71" t="s">
        <v>184</v>
      </c>
      <c r="B10" s="72">
        <f>'3. Risk mapping'!H$45</f>
        <v>0</v>
      </c>
      <c r="C10" s="73"/>
      <c r="D10" s="73" t="s">
        <v>194</v>
      </c>
      <c r="E10" s="73"/>
      <c r="F10" s="73" t="s">
        <v>194</v>
      </c>
    </row>
    <row r="11" spans="1:8" ht="18" customHeight="1">
      <c r="A11" s="71" t="s">
        <v>184</v>
      </c>
      <c r="B11" s="72">
        <f>'3. Risk mapping'!J$45</f>
        <v>0</v>
      </c>
      <c r="C11" s="73"/>
      <c r="D11" s="73" t="s">
        <v>194</v>
      </c>
      <c r="E11" s="73" t="s">
        <v>194</v>
      </c>
      <c r="F11" s="73" t="s">
        <v>194</v>
      </c>
    </row>
    <row r="12" spans="1:8" ht="18" customHeight="1">
      <c r="A12" s="71" t="s">
        <v>34</v>
      </c>
      <c r="B12" s="72">
        <f>'3. Risk mapping'!N$45</f>
        <v>0</v>
      </c>
      <c r="C12" s="73" t="s">
        <v>194</v>
      </c>
      <c r="D12" s="73"/>
      <c r="E12" s="73"/>
      <c r="F12" s="73"/>
    </row>
    <row r="13" spans="1:8" ht="18" customHeight="1">
      <c r="A13" s="71"/>
      <c r="B13" s="72">
        <f>'3. Risk mapping'!I$45</f>
        <v>0</v>
      </c>
      <c r="C13" s="73"/>
      <c r="D13" s="73" t="s">
        <v>194</v>
      </c>
      <c r="E13" s="73" t="s">
        <v>194</v>
      </c>
      <c r="F13" s="73" t="s">
        <v>194</v>
      </c>
    </row>
    <row r="14" spans="1:8" ht="18" customHeight="1">
      <c r="A14" s="71" t="s">
        <v>29</v>
      </c>
      <c r="B14" s="72">
        <f>'3. Risk mapping'!M$45</f>
        <v>0</v>
      </c>
      <c r="C14" s="73" t="s">
        <v>194</v>
      </c>
      <c r="D14" s="73"/>
      <c r="E14" s="73"/>
      <c r="F14" s="73"/>
    </row>
    <row r="15" spans="1:8" ht="18" customHeight="1">
      <c r="A15" s="71" t="s">
        <v>26</v>
      </c>
      <c r="B15" s="72">
        <f>'3. Risk mapping'!L$45</f>
        <v>0</v>
      </c>
      <c r="C15" s="73" t="s">
        <v>194</v>
      </c>
      <c r="D15" s="73"/>
      <c r="E15" s="73"/>
      <c r="F15" s="73"/>
    </row>
    <row r="16" spans="1:8" ht="18" customHeight="1">
      <c r="A16" s="71" t="s">
        <v>185</v>
      </c>
      <c r="B16" s="72">
        <f>'3. Risk mapping'!K$45</f>
        <v>0</v>
      </c>
      <c r="C16" s="73"/>
      <c r="D16" s="73" t="s">
        <v>194</v>
      </c>
      <c r="E16" s="73" t="s">
        <v>194</v>
      </c>
      <c r="F16" s="73" t="s">
        <v>194</v>
      </c>
    </row>
    <row r="17" spans="1:6" ht="18" customHeight="1">
      <c r="A17" s="71" t="s">
        <v>23</v>
      </c>
      <c r="B17" s="72">
        <f>'3. Risk mapping'!P$45</f>
        <v>0</v>
      </c>
      <c r="C17" s="73" t="s">
        <v>194</v>
      </c>
      <c r="D17" s="73"/>
      <c r="E17" s="73"/>
      <c r="F17" s="73"/>
    </row>
    <row r="18" spans="1:6" ht="18" customHeight="1">
      <c r="A18" s="71" t="s">
        <v>41</v>
      </c>
      <c r="B18" s="72">
        <f>'3. Risk mapping'!Q$45</f>
        <v>0</v>
      </c>
      <c r="C18" s="73"/>
      <c r="D18" s="73" t="s">
        <v>194</v>
      </c>
      <c r="E18" s="73" t="s">
        <v>194</v>
      </c>
      <c r="F18" s="73" t="s">
        <v>194</v>
      </c>
    </row>
    <row r="19" spans="1:6" ht="18" customHeight="1">
      <c r="A19" s="71" t="s">
        <v>20</v>
      </c>
      <c r="B19" s="72">
        <f>'3. Risk mapping'!O$45</f>
        <v>0</v>
      </c>
      <c r="C19" s="73" t="s">
        <v>194</v>
      </c>
      <c r="D19" s="73"/>
      <c r="E19" s="73"/>
      <c r="F19" s="73"/>
    </row>
  </sheetData>
  <autoFilter ref="A7:G19" xr:uid="{00000000-0009-0000-0000-000004000000}"/>
  <pageMargins left="0.4" right="0.4" top="0.5" bottom="0.5" header="0.511811023622047" footer="0.3"/>
  <pageSetup paperSize="9" fitToHeight="0" orientation="portrait" horizontalDpi="300" verticalDpi="300"/>
  <headerFooter>
    <oddFooter>&amp;C&amp;8 &amp;A  –  Page &amp;P /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42"/>
  <sheetViews>
    <sheetView showGridLines="0" zoomScaleNormal="100" workbookViewId="0">
      <pane ySplit="7" topLeftCell="A8" activePane="bottomLeft" state="frozen"/>
      <selection pane="bottomLeft" activeCell="A5" sqref="A5"/>
    </sheetView>
  </sheetViews>
  <sheetFormatPr defaultColWidth="8.6640625" defaultRowHeight="13.2"/>
  <cols>
    <col min="1" max="1" width="6" customWidth="1"/>
    <col min="2" max="2" width="18" customWidth="1"/>
    <col min="3" max="3" width="50" customWidth="1"/>
    <col min="4" max="4" width="28" customWidth="1"/>
    <col min="5" max="5" width="16" customWidth="1"/>
    <col min="6" max="6" width="24" customWidth="1"/>
    <col min="7" max="7" width="18" customWidth="1"/>
  </cols>
  <sheetData>
    <row r="1" spans="1:8" ht="21.75" customHeight="1">
      <c r="A1" s="23" t="str">
        <f>'0. Introduction'!A1</f>
        <v>Company Name</v>
      </c>
      <c r="B1" s="15"/>
      <c r="C1" s="15"/>
      <c r="D1" s="15"/>
      <c r="E1" s="15"/>
      <c r="F1" s="15"/>
      <c r="G1" s="15"/>
      <c r="H1" s="15"/>
    </row>
    <row r="2" spans="1:8" ht="19.5" customHeight="1">
      <c r="A2" s="16" t="s">
        <v>1</v>
      </c>
      <c r="B2" s="15"/>
      <c r="C2" s="15"/>
      <c r="D2" s="15"/>
      <c r="E2" s="15"/>
      <c r="F2" s="15"/>
      <c r="G2" s="15"/>
      <c r="H2" s="15"/>
    </row>
    <row r="3" spans="1:8" ht="19.5" customHeight="1">
      <c r="A3" s="17" t="str">
        <f>'0. Introduction'!A3</f>
        <v>Year:</v>
      </c>
      <c r="B3" s="15"/>
      <c r="C3" s="15"/>
      <c r="D3" s="15"/>
      <c r="E3" s="15"/>
      <c r="F3" s="15"/>
      <c r="G3" s="15"/>
      <c r="H3" s="15"/>
    </row>
    <row r="4" spans="1:8">
      <c r="A4" s="15"/>
      <c r="B4" s="15"/>
      <c r="C4" s="15"/>
      <c r="D4" s="15"/>
      <c r="E4" s="15"/>
      <c r="F4" s="15"/>
      <c r="G4" s="15"/>
      <c r="H4" s="15"/>
    </row>
    <row r="5" spans="1:8" ht="19.5" customHeight="1">
      <c r="A5" s="70" t="s">
        <v>195</v>
      </c>
      <c r="B5" s="15"/>
      <c r="C5" s="15"/>
      <c r="D5" s="15"/>
      <c r="E5" s="15"/>
      <c r="F5" s="15"/>
      <c r="G5" s="15"/>
      <c r="H5" s="15"/>
    </row>
    <row r="7" spans="1:8" ht="24" customHeight="1">
      <c r="A7" s="74" t="s">
        <v>61</v>
      </c>
      <c r="B7" s="74" t="s">
        <v>181</v>
      </c>
      <c r="C7" s="74" t="s">
        <v>186</v>
      </c>
      <c r="D7" s="74" t="s">
        <v>67</v>
      </c>
      <c r="E7" s="74" t="s">
        <v>196</v>
      </c>
      <c r="F7" s="74" t="s">
        <v>197</v>
      </c>
      <c r="G7" s="74" t="s">
        <v>198</v>
      </c>
    </row>
    <row r="8" spans="1:8" ht="15.75" customHeight="1">
      <c r="A8" s="3"/>
      <c r="B8" s="2"/>
      <c r="C8" s="2"/>
      <c r="D8" s="75"/>
      <c r="E8" s="2"/>
      <c r="F8" s="2"/>
      <c r="G8" s="1"/>
    </row>
    <row r="9" spans="1:8" ht="15.75" customHeight="1">
      <c r="A9" s="3"/>
      <c r="B9" s="2"/>
      <c r="C9" s="2"/>
      <c r="D9" s="76"/>
      <c r="E9" s="2"/>
      <c r="F9" s="2"/>
      <c r="G9" s="2"/>
    </row>
    <row r="10" spans="1:8" ht="15.75" customHeight="1">
      <c r="A10" s="3"/>
      <c r="B10" s="2"/>
      <c r="C10" s="2"/>
      <c r="D10" s="76"/>
      <c r="E10" s="2"/>
      <c r="F10" s="2"/>
      <c r="G10" s="2"/>
    </row>
    <row r="11" spans="1:8" ht="15.75" customHeight="1">
      <c r="A11" s="3"/>
      <c r="B11" s="2"/>
      <c r="C11" s="2"/>
      <c r="D11" s="76"/>
      <c r="E11" s="2"/>
      <c r="F11" s="2"/>
      <c r="G11" s="2"/>
    </row>
    <row r="12" spans="1:8" ht="15.75" customHeight="1">
      <c r="A12" s="3"/>
      <c r="B12" s="2"/>
      <c r="C12" s="2"/>
      <c r="D12" s="75"/>
      <c r="E12" s="2"/>
      <c r="F12" s="2"/>
      <c r="G12" s="1"/>
    </row>
    <row r="13" spans="1:8" ht="15.75" customHeight="1">
      <c r="A13" s="3"/>
      <c r="B13" s="2"/>
      <c r="C13" s="2"/>
      <c r="D13" s="76"/>
      <c r="E13" s="2"/>
      <c r="F13" s="2"/>
      <c r="G13" s="2"/>
    </row>
    <row r="14" spans="1:8" ht="15.75" customHeight="1">
      <c r="A14" s="3"/>
      <c r="B14" s="2"/>
      <c r="C14" s="2"/>
      <c r="D14" s="76"/>
      <c r="E14" s="2"/>
      <c r="F14" s="2"/>
      <c r="G14" s="2"/>
    </row>
    <row r="15" spans="1:8" ht="15.75" customHeight="1">
      <c r="A15" s="3"/>
      <c r="B15" s="2"/>
      <c r="C15" s="2"/>
      <c r="D15" s="76"/>
      <c r="E15" s="2"/>
      <c r="F15" s="2"/>
      <c r="G15" s="2"/>
    </row>
    <row r="16" spans="1:8" ht="15.75" customHeight="1">
      <c r="A16" s="3"/>
      <c r="B16" s="2"/>
      <c r="C16" s="2"/>
      <c r="D16" s="75"/>
      <c r="E16" s="2"/>
      <c r="F16" s="2"/>
      <c r="G16" s="1"/>
    </row>
    <row r="17" spans="1:7" ht="15.75" customHeight="1">
      <c r="A17" s="3"/>
      <c r="B17" s="2"/>
      <c r="C17" s="2"/>
      <c r="D17" s="76"/>
      <c r="E17" s="2"/>
      <c r="F17" s="2"/>
      <c r="G17" s="2"/>
    </row>
    <row r="18" spans="1:7" ht="15.75" customHeight="1">
      <c r="A18" s="3"/>
      <c r="B18" s="2"/>
      <c r="C18" s="2"/>
      <c r="D18" s="76"/>
      <c r="E18" s="2"/>
      <c r="F18" s="2"/>
      <c r="G18" s="2"/>
    </row>
    <row r="19" spans="1:7" ht="15.75" customHeight="1">
      <c r="A19" s="3"/>
      <c r="B19" s="2"/>
      <c r="C19" s="2"/>
      <c r="D19" s="76"/>
      <c r="E19" s="2"/>
      <c r="F19" s="2"/>
      <c r="G19" s="2"/>
    </row>
    <row r="20" spans="1:7" ht="15.75" customHeight="1">
      <c r="A20" s="3"/>
      <c r="B20" s="2"/>
      <c r="C20" s="2"/>
      <c r="D20" s="75"/>
      <c r="E20" s="2"/>
      <c r="F20" s="2"/>
      <c r="G20" s="1"/>
    </row>
    <row r="21" spans="1:7" ht="15.75" customHeight="1">
      <c r="A21" s="3"/>
      <c r="B21" s="2"/>
      <c r="C21" s="2"/>
      <c r="D21" s="76"/>
      <c r="E21" s="2"/>
      <c r="F21" s="2"/>
      <c r="G21" s="2"/>
    </row>
    <row r="22" spans="1:7" ht="15.75" customHeight="1">
      <c r="A22" s="3"/>
      <c r="B22" s="2"/>
      <c r="C22" s="2"/>
      <c r="D22" s="76"/>
      <c r="E22" s="2"/>
      <c r="F22" s="2"/>
      <c r="G22" s="2"/>
    </row>
    <row r="23" spans="1:7" ht="15.75" customHeight="1">
      <c r="A23" s="3"/>
      <c r="B23" s="2"/>
      <c r="C23" s="2"/>
      <c r="D23" s="76"/>
      <c r="E23" s="2"/>
      <c r="F23" s="2"/>
      <c r="G23" s="2"/>
    </row>
    <row r="24" spans="1:7" ht="45" customHeight="1">
      <c r="A24" s="77"/>
      <c r="B24" s="77"/>
      <c r="C24" s="77"/>
      <c r="D24" s="77"/>
      <c r="E24" s="77"/>
      <c r="F24" s="77"/>
      <c r="G24" s="78"/>
    </row>
    <row r="25" spans="1:7">
      <c r="A25" s="79"/>
      <c r="B25" s="79"/>
      <c r="C25" s="79"/>
      <c r="D25" s="79"/>
      <c r="E25" s="79"/>
      <c r="F25" s="79"/>
      <c r="G25" s="79"/>
    </row>
    <row r="26" spans="1:7">
      <c r="A26" s="79"/>
      <c r="B26" s="79"/>
      <c r="C26" s="79"/>
      <c r="D26" s="79"/>
      <c r="E26" s="79"/>
      <c r="F26" s="79"/>
      <c r="G26" s="79"/>
    </row>
    <row r="27" spans="1:7" ht="13.8">
      <c r="A27" s="79"/>
      <c r="B27" s="79"/>
      <c r="C27" s="80" t="s">
        <v>199</v>
      </c>
      <c r="D27" s="79"/>
      <c r="E27" s="79"/>
      <c r="F27" s="79"/>
      <c r="G27" s="79"/>
    </row>
    <row r="28" spans="1:7">
      <c r="A28" s="79"/>
      <c r="B28" s="79"/>
      <c r="C28" s="81" t="s">
        <v>200</v>
      </c>
      <c r="D28" s="79"/>
      <c r="E28" s="79"/>
      <c r="F28" s="79"/>
      <c r="G28" s="79"/>
    </row>
    <row r="29" spans="1:7" ht="18" customHeight="1">
      <c r="A29" s="79"/>
      <c r="B29" s="79"/>
      <c r="C29" s="79" t="s">
        <v>201</v>
      </c>
      <c r="D29" s="82" t="s">
        <v>202</v>
      </c>
      <c r="E29" s="79"/>
      <c r="F29" s="79"/>
      <c r="G29" s="79"/>
    </row>
    <row r="30" spans="1:7">
      <c r="A30" s="79"/>
      <c r="B30" s="79"/>
      <c r="C30" s="79" t="s">
        <v>203</v>
      </c>
      <c r="D30" s="82" t="s">
        <v>202</v>
      </c>
      <c r="E30" s="79"/>
      <c r="F30" s="79"/>
      <c r="G30" s="79"/>
    </row>
    <row r="31" spans="1:7" ht="18" customHeight="1">
      <c r="A31" s="79"/>
      <c r="B31" s="79"/>
      <c r="C31" s="79" t="s">
        <v>204</v>
      </c>
      <c r="D31" s="82" t="s">
        <v>202</v>
      </c>
      <c r="E31" s="79"/>
      <c r="F31" s="79"/>
      <c r="G31" s="79"/>
    </row>
    <row r="32" spans="1:7">
      <c r="A32" s="79"/>
      <c r="B32" s="79"/>
      <c r="C32" s="81" t="s">
        <v>205</v>
      </c>
      <c r="D32" s="82" t="s">
        <v>206</v>
      </c>
      <c r="E32" s="79"/>
      <c r="F32" s="79"/>
      <c r="G32" s="79"/>
    </row>
    <row r="33" spans="1:7">
      <c r="A33" s="79"/>
      <c r="B33" s="79"/>
      <c r="C33" s="25" t="s">
        <v>181</v>
      </c>
      <c r="D33" s="25" t="s">
        <v>207</v>
      </c>
      <c r="E33" s="25" t="s">
        <v>208</v>
      </c>
      <c r="F33" s="79"/>
      <c r="G33" s="79"/>
    </row>
    <row r="34" spans="1:7">
      <c r="A34" s="79"/>
      <c r="B34" s="79"/>
      <c r="C34" s="28" t="s">
        <v>45</v>
      </c>
      <c r="D34" s="83"/>
      <c r="E34" s="83"/>
      <c r="F34" s="79"/>
      <c r="G34" s="79"/>
    </row>
    <row r="35" spans="1:7">
      <c r="A35" s="79"/>
      <c r="B35" s="79"/>
      <c r="C35" s="28" t="s">
        <v>182</v>
      </c>
      <c r="D35" s="83"/>
      <c r="E35" s="83"/>
      <c r="F35" s="79"/>
      <c r="G35" s="79"/>
    </row>
    <row r="36" spans="1:7">
      <c r="A36" s="79"/>
      <c r="B36" s="79"/>
      <c r="C36" s="28" t="s">
        <v>183</v>
      </c>
      <c r="D36" s="83"/>
      <c r="E36" s="83"/>
      <c r="F36" s="79"/>
      <c r="G36" s="79"/>
    </row>
    <row r="37" spans="1:7">
      <c r="A37" s="79"/>
      <c r="B37" s="79"/>
      <c r="C37" s="28" t="s">
        <v>184</v>
      </c>
      <c r="D37" s="83"/>
      <c r="E37" s="83"/>
      <c r="F37" s="79"/>
      <c r="G37" s="79"/>
    </row>
    <row r="38" spans="1:7">
      <c r="A38" s="79"/>
      <c r="B38" s="79"/>
      <c r="C38" s="28" t="s">
        <v>184</v>
      </c>
      <c r="D38" s="83"/>
      <c r="E38" s="83"/>
      <c r="F38" s="79"/>
      <c r="G38" s="79"/>
    </row>
    <row r="39" spans="1:7">
      <c r="A39" s="79"/>
      <c r="B39" s="79"/>
      <c r="C39" s="28" t="s">
        <v>185</v>
      </c>
      <c r="D39" s="83"/>
      <c r="E39" s="83"/>
      <c r="F39" s="79"/>
      <c r="G39" s="79"/>
    </row>
    <row r="40" spans="1:7">
      <c r="A40" s="79"/>
      <c r="B40" s="79"/>
      <c r="C40" s="28" t="s">
        <v>34</v>
      </c>
      <c r="D40" s="83"/>
      <c r="E40" s="83"/>
      <c r="F40" s="79"/>
      <c r="G40" s="79"/>
    </row>
    <row r="41" spans="1:7">
      <c r="A41" s="79"/>
      <c r="B41" s="79"/>
      <c r="C41" s="28" t="s">
        <v>209</v>
      </c>
      <c r="D41" s="83"/>
      <c r="E41" s="83"/>
      <c r="F41" s="79"/>
      <c r="G41" s="79"/>
    </row>
    <row r="42" spans="1:7">
      <c r="A42" s="79"/>
      <c r="B42" s="79"/>
      <c r="C42" s="28" t="s">
        <v>210</v>
      </c>
      <c r="D42" s="83"/>
      <c r="E42" s="83"/>
      <c r="F42" s="79"/>
      <c r="G42" s="79"/>
    </row>
  </sheetData>
  <mergeCells count="24">
    <mergeCell ref="G16:G19"/>
    <mergeCell ref="A20:A23"/>
    <mergeCell ref="B20:B23"/>
    <mergeCell ref="C20:C23"/>
    <mergeCell ref="E20:E23"/>
    <mergeCell ref="F20:F23"/>
    <mergeCell ref="G20:G23"/>
    <mergeCell ref="A16:A19"/>
    <mergeCell ref="B16:B19"/>
    <mergeCell ref="C16:C19"/>
    <mergeCell ref="E16:E19"/>
    <mergeCell ref="F16:F19"/>
    <mergeCell ref="G8:G11"/>
    <mergeCell ref="A12:A15"/>
    <mergeCell ref="B12:B15"/>
    <mergeCell ref="C12:C15"/>
    <mergeCell ref="E12:E15"/>
    <mergeCell ref="F12:F15"/>
    <mergeCell ref="G12:G15"/>
    <mergeCell ref="A8:A11"/>
    <mergeCell ref="B8:B11"/>
    <mergeCell ref="C8:C11"/>
    <mergeCell ref="E8:E11"/>
    <mergeCell ref="F8:F11"/>
  </mergeCells>
  <pageMargins left="0.4" right="0.4" top="0.5" bottom="0.5" header="0.511811023622047" footer="0.3"/>
  <pageSetup paperSize="9" fitToHeight="0" orientation="landscape" horizontalDpi="300" verticalDpi="300"/>
  <headerFooter>
    <oddFooter>&amp;C&amp;8 &amp;A  –  Page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0. Introduction</vt:lpstr>
      <vt:lpstr>1. Audit universe</vt:lpstr>
      <vt:lpstr>2. Risk sheet</vt:lpstr>
      <vt:lpstr>3. Risk mapping</vt:lpstr>
      <vt:lpstr>4. Location mapping</vt:lpstr>
      <vt:lpstr>5. IA plan</vt:lpstr>
      <vt:lpstr>'0. Introduction'!Print_Area</vt:lpstr>
      <vt:lpstr>'1. Audit universe'!Print_Area</vt:lpstr>
      <vt:lpstr>'2. Risk sheet'!Print_Area</vt:lpstr>
      <vt:lpstr>'3. Risk mapping'!Print_Area</vt:lpstr>
      <vt:lpstr>'4. Location mapping'!Print_Area</vt:lpstr>
      <vt:lpstr>'5. IA plan'!Print_Area</vt:lpstr>
      <vt:lpstr>'1. Audit universe'!Print_Titles</vt:lpstr>
      <vt:lpstr>'2. Risk sheet'!Print_Titles</vt:lpstr>
      <vt:lpstr>'3. Risk mapping'!Print_Titles</vt:lpstr>
      <vt:lpstr>'4. Location mapping'!Print_Titles</vt:lpstr>
      <vt:lpstr>'5. IA plan'!Print_Titles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Percy.vnsgn / Bee Logistics</cp:lastModifiedBy>
  <cp:revision>0</cp:revision>
  <dcterms:created xsi:type="dcterms:W3CDTF">2012-12-03T08:29:58Z</dcterms:created>
  <dcterms:modified xsi:type="dcterms:W3CDTF">2026-10-28T03:56:17Z</dcterms:modified>
  <dc:language>en-US</dc:language>
</cp:coreProperties>
</file>